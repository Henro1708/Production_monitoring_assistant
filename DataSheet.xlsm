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.engelke\OneDrive - Martinrea Inc\Documents\GitHub\Scheduler\"/>
    </mc:Choice>
  </mc:AlternateContent>
  <xr:revisionPtr revIDLastSave="0" documentId="13_ncr:1_{6363E287-93E9-45A1-A786-1BF73D319C7D}" xr6:coauthVersionLast="47" xr6:coauthVersionMax="47" xr10:uidLastSave="{00000000-0000-0000-0000-000000000000}"/>
  <bookViews>
    <workbookView xWindow="-108" yWindow="-108" windowWidth="23256" windowHeight="12576" xr2:uid="{BE8BFD2F-171A-4B0B-8C18-9F460D980480}"/>
  </bookViews>
  <sheets>
    <sheet name="Sheet1" sheetId="3" r:id="rId1"/>
  </sheets>
  <definedNames>
    <definedName name="endTime">Sheet1!$H$3</definedName>
    <definedName name="ExternalData_1" localSheetId="0" hidden="1">Sheet1!$A$7:$C$77</definedName>
    <definedName name="startTime">Sheet1!$H$2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3" l="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8" i="3"/>
  <c r="D9" i="3"/>
  <c r="D10" i="3"/>
  <c r="D11" i="3"/>
  <c r="D12" i="3"/>
  <c r="D13" i="3"/>
  <c r="D14" i="3"/>
  <c r="D15" i="3"/>
  <c r="D16" i="3"/>
  <c r="D17" i="3"/>
  <c r="D18" i="3"/>
  <c r="D19" i="3"/>
  <c r="H3" i="3"/>
  <c r="H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7F7F1A7-8D0D-4547-B245-185DB21E7314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<sst xmlns="http://schemas.openxmlformats.org/spreadsheetml/2006/main" count="77" uniqueCount="8">
  <si>
    <t>epoch_time</t>
  </si>
  <si>
    <t>time_diff</t>
  </si>
  <si>
    <t>ip_address</t>
  </si>
  <si>
    <t>10.10.16.132</t>
  </si>
  <si>
    <t>Date (Start)</t>
  </si>
  <si>
    <t>Date (End)</t>
  </si>
  <si>
    <t>Average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</si>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</sst>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22" fontId="0" fillId="3" borderId="0" xfId="0" applyNumberFormat="1" applyFill="1"/>
    <xf numFmtId="0" fontId="1" fillId="0" borderId="1" xfId="0" applyFont="1" applyBorder="1"/>
    <xf numFmtId="0" fontId="0" fillId="0" borderId="0" xfId="0" applyNumberForma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Time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1055826771653545E-2"/>
          <c:y val="4.5193897637795272E-2"/>
          <c:w val="0.88371393700787404"/>
          <c:h val="0.6509143700787402"/>
        </c:manualLayout>
      </c:layout>
      <c:barChart>
        <c:barDir val="col"/>
        <c:grouping val="clustered"/>
        <c:varyColors val="0"/>
        <c:ser>
          <c:idx val="0"/>
          <c:order val="0"/>
          <c:tx>
            <c:v>Time</c:v>
          </c:tx>
          <c:invertIfNegative val="0"/>
          <c:cat>
            <c:strRef>
              <c:f>Sheet1!$E$8:$E$77</c:f>
              <c:strCache>
                <c:ptCount val="70"/>
                <c:pt idx="0">
                  <c:v>2023-04-03 11:55:34</c:v>
                </c:pt>
                <c:pt idx="1">
                  <c:v>2023-04-03 11:57:30</c:v>
                </c:pt>
                <c:pt idx="2">
                  <c:v>2023-04-03 11:59:03</c:v>
                </c:pt>
                <c:pt idx="3">
                  <c:v>2023-04-03 12:00:47</c:v>
                </c:pt>
                <c:pt idx="4">
                  <c:v>2023-04-03 12:03:42</c:v>
                </c:pt>
                <c:pt idx="5">
                  <c:v>2023-04-03 12:06:08</c:v>
                </c:pt>
                <c:pt idx="6">
                  <c:v>2023-04-03 12:07:36</c:v>
                </c:pt>
                <c:pt idx="7">
                  <c:v>2023-04-03 12:09:00</c:v>
                </c:pt>
                <c:pt idx="8">
                  <c:v>2023-04-03 12:10:07</c:v>
                </c:pt>
                <c:pt idx="9">
                  <c:v>2023-04-03 12:11:05</c:v>
                </c:pt>
                <c:pt idx="10">
                  <c:v>2023-04-03 12:11:58</c:v>
                </c:pt>
                <c:pt idx="11">
                  <c:v>2023-04-03 12:13:01</c:v>
                </c:pt>
                <c:pt idx="12">
                  <c:v>2023-04-03 12:13:59</c:v>
                </c:pt>
                <c:pt idx="13">
                  <c:v>2023-04-03 12:15:00</c:v>
                </c:pt>
                <c:pt idx="14">
                  <c:v>2023-04-03 12:16:25</c:v>
                </c:pt>
                <c:pt idx="15">
                  <c:v>2023-04-03 12:17:19</c:v>
                </c:pt>
                <c:pt idx="16">
                  <c:v>2023-04-03 12:18:40</c:v>
                </c:pt>
                <c:pt idx="17">
                  <c:v>2023-04-03 12:19:42</c:v>
                </c:pt>
                <c:pt idx="18">
                  <c:v>2023-04-03 12:21:10</c:v>
                </c:pt>
                <c:pt idx="19">
                  <c:v>2023-04-03 12:21:57</c:v>
                </c:pt>
                <c:pt idx="20">
                  <c:v>2023-04-03 12:22:53</c:v>
                </c:pt>
                <c:pt idx="21">
                  <c:v>2023-04-03 12:24:28</c:v>
                </c:pt>
                <c:pt idx="22">
                  <c:v>2023-04-03 12:25:29</c:v>
                </c:pt>
                <c:pt idx="23">
                  <c:v>2023-04-03 12:26:26</c:v>
                </c:pt>
                <c:pt idx="24">
                  <c:v>2023-04-03 12:27:33</c:v>
                </c:pt>
                <c:pt idx="25">
                  <c:v>2023-04-03 12:28:28</c:v>
                </c:pt>
                <c:pt idx="26">
                  <c:v>2023-04-03 12:29:19</c:v>
                </c:pt>
                <c:pt idx="27">
                  <c:v>2023-04-03 12:55:12</c:v>
                </c:pt>
                <c:pt idx="28">
                  <c:v>2023-04-03 12:57:20</c:v>
                </c:pt>
                <c:pt idx="29">
                  <c:v>2023-04-03 12:58:51</c:v>
                </c:pt>
                <c:pt idx="30">
                  <c:v>2023-04-03 12:59:54</c:v>
                </c:pt>
                <c:pt idx="31">
                  <c:v>2023-04-03 13:00:44</c:v>
                </c:pt>
                <c:pt idx="32">
                  <c:v>2023-04-03 13:01:36</c:v>
                </c:pt>
                <c:pt idx="33">
                  <c:v>2023-04-03 13:03:53</c:v>
                </c:pt>
                <c:pt idx="34">
                  <c:v>2023-04-03 13:05:51</c:v>
                </c:pt>
                <c:pt idx="35">
                  <c:v>2023-04-03 13:10:40</c:v>
                </c:pt>
                <c:pt idx="36">
                  <c:v>2023-04-03 13:11:16</c:v>
                </c:pt>
                <c:pt idx="37">
                  <c:v>2023-04-03 13:12:30</c:v>
                </c:pt>
                <c:pt idx="38">
                  <c:v>2023-04-03 13:13:20</c:v>
                </c:pt>
                <c:pt idx="39">
                  <c:v>2023-04-03 13:14:54</c:v>
                </c:pt>
                <c:pt idx="40">
                  <c:v>2023-04-03 13:15:43</c:v>
                </c:pt>
                <c:pt idx="41">
                  <c:v>2023-04-03 13:16:34</c:v>
                </c:pt>
                <c:pt idx="42">
                  <c:v>2023-04-03 13:18:14</c:v>
                </c:pt>
                <c:pt idx="43">
                  <c:v>2023-04-03 13:19:34</c:v>
                </c:pt>
                <c:pt idx="44">
                  <c:v>2023-04-03 13:20:18</c:v>
                </c:pt>
                <c:pt idx="45">
                  <c:v>2023-04-03 13:21:05</c:v>
                </c:pt>
                <c:pt idx="46">
                  <c:v>2023-04-03 13:21:58</c:v>
                </c:pt>
                <c:pt idx="47">
                  <c:v>2023-04-03 13:22:59</c:v>
                </c:pt>
                <c:pt idx="48">
                  <c:v>2023-04-03 13:24:19</c:v>
                </c:pt>
                <c:pt idx="49">
                  <c:v>2023-04-03 13:25:01</c:v>
                </c:pt>
                <c:pt idx="50">
                  <c:v>2023-04-03 13:26:08</c:v>
                </c:pt>
                <c:pt idx="51">
                  <c:v>2023-04-03 13:27:38</c:v>
                </c:pt>
                <c:pt idx="52">
                  <c:v>2023-04-03 13:29:38</c:v>
                </c:pt>
                <c:pt idx="53">
                  <c:v>2023-04-03 13:31:58</c:v>
                </c:pt>
                <c:pt idx="54">
                  <c:v>2023-04-03 13:33:00</c:v>
                </c:pt>
                <c:pt idx="55">
                  <c:v>2023-04-03 13:34:44</c:v>
                </c:pt>
                <c:pt idx="56">
                  <c:v>2023-04-03 13:35:31</c:v>
                </c:pt>
                <c:pt idx="57">
                  <c:v>2023-04-03 13:36:43</c:v>
                </c:pt>
                <c:pt idx="58">
                  <c:v>2023-04-03 13:38:36</c:v>
                </c:pt>
                <c:pt idx="59">
                  <c:v>2023-04-03 13:40:03</c:v>
                </c:pt>
                <c:pt idx="60">
                  <c:v>2023-04-03 13:40:49</c:v>
                </c:pt>
                <c:pt idx="61">
                  <c:v>2023-04-03 13:42:00</c:v>
                </c:pt>
                <c:pt idx="62">
                  <c:v>2023-04-03 13:43:29</c:v>
                </c:pt>
                <c:pt idx="63">
                  <c:v>2023-04-03 13:44:50</c:v>
                </c:pt>
                <c:pt idx="64">
                  <c:v>2023-04-03 13:45:55</c:v>
                </c:pt>
                <c:pt idx="65">
                  <c:v>2023-04-03 13:49:30</c:v>
                </c:pt>
                <c:pt idx="66">
                  <c:v>2023-04-03 13:50:21</c:v>
                </c:pt>
                <c:pt idx="67">
                  <c:v>2023-04-03 13:51:05</c:v>
                </c:pt>
                <c:pt idx="68">
                  <c:v>2023-04-03 14:01:54</c:v>
                </c:pt>
                <c:pt idx="69">
                  <c:v>2023-04-03 14:02:37</c:v>
                </c:pt>
              </c:strCache>
            </c:strRef>
          </c:cat>
          <c:val>
            <c:numRef>
              <c:f>Sheet1!$B$8:$B$77</c:f>
              <c:numCache>
                <c:formatCode>General</c:formatCode>
                <c:ptCount val="70"/>
                <c:pt idx="0">
                  <c:v>94.782245874404921</c:v>
                </c:pt>
                <c:pt idx="1">
                  <c:v>115.84366178512572</c:v>
                </c:pt>
                <c:pt idx="2">
                  <c:v>93.433675527572646</c:v>
                </c:pt>
                <c:pt idx="3">
                  <c:v>103.69748568534852</c:v>
                </c:pt>
                <c:pt idx="4">
                  <c:v>175.47615647315979</c:v>
                </c:pt>
                <c:pt idx="5">
                  <c:v>146.2085120677948</c:v>
                </c:pt>
                <c:pt idx="6">
                  <c:v>88.187278270721436</c:v>
                </c:pt>
                <c:pt idx="7">
                  <c:v>83.899567604064941</c:v>
                </c:pt>
                <c:pt idx="8">
                  <c:v>66.712419509887695</c:v>
                </c:pt>
                <c:pt idx="9">
                  <c:v>57.760782241821289</c:v>
                </c:pt>
                <c:pt idx="10">
                  <c:v>52.803061962127686</c:v>
                </c:pt>
                <c:pt idx="11">
                  <c:v>63.284643888473511</c:v>
                </c:pt>
                <c:pt idx="12">
                  <c:v>58.344626188278198</c:v>
                </c:pt>
                <c:pt idx="13">
                  <c:v>61.382393598556519</c:v>
                </c:pt>
                <c:pt idx="14">
                  <c:v>85.213748931884766</c:v>
                </c:pt>
                <c:pt idx="15">
                  <c:v>53.712891101837158</c:v>
                </c:pt>
                <c:pt idx="16">
                  <c:v>81.277211904525757</c:v>
                </c:pt>
                <c:pt idx="17">
                  <c:v>62.059561014175415</c:v>
                </c:pt>
                <c:pt idx="18">
                  <c:v>87.609411239624023</c:v>
                </c:pt>
                <c:pt idx="19">
                  <c:v>47.280707359313965</c:v>
                </c:pt>
                <c:pt idx="20">
                  <c:v>56.138170003890991</c:v>
                </c:pt>
                <c:pt idx="21">
                  <c:v>94.703075408935561</c:v>
                </c:pt>
                <c:pt idx="22">
                  <c:v>60.561648368835449</c:v>
                </c:pt>
                <c:pt idx="23">
                  <c:v>57.015678644180298</c:v>
                </c:pt>
                <c:pt idx="24">
                  <c:v>67.290802717208862</c:v>
                </c:pt>
                <c:pt idx="25">
                  <c:v>55.397169828414917</c:v>
                </c:pt>
                <c:pt idx="26">
                  <c:v>51.372634410858154</c:v>
                </c:pt>
                <c:pt idx="27">
                  <c:v>1553.2591519355774</c:v>
                </c:pt>
                <c:pt idx="28">
                  <c:v>128.13210344314575</c:v>
                </c:pt>
                <c:pt idx="29">
                  <c:v>90.745838165283203</c:v>
                </c:pt>
                <c:pt idx="30">
                  <c:v>63.399141311645508</c:v>
                </c:pt>
                <c:pt idx="31">
                  <c:v>49.955534219741821</c:v>
                </c:pt>
                <c:pt idx="32">
                  <c:v>52.053804874420166</c:v>
                </c:pt>
                <c:pt idx="33">
                  <c:v>137.2660813331604</c:v>
                </c:pt>
                <c:pt idx="34">
                  <c:v>118.08718132972716</c:v>
                </c:pt>
                <c:pt idx="35">
                  <c:v>288.56009960174561</c:v>
                </c:pt>
                <c:pt idx="36">
                  <c:v>36.027114391326904</c:v>
                </c:pt>
                <c:pt idx="37">
                  <c:v>74.056686639785767</c:v>
                </c:pt>
                <c:pt idx="38">
                  <c:v>50.010796785354614</c:v>
                </c:pt>
                <c:pt idx="39">
                  <c:v>94.224323272705078</c:v>
                </c:pt>
                <c:pt idx="40">
                  <c:v>48.632864713668823</c:v>
                </c:pt>
                <c:pt idx="41">
                  <c:v>51.38848614692688</c:v>
                </c:pt>
                <c:pt idx="42">
                  <c:v>100.00422048568726</c:v>
                </c:pt>
                <c:pt idx="43">
                  <c:v>80.282010793685913</c:v>
                </c:pt>
                <c:pt idx="44">
                  <c:v>43.871922254562378</c:v>
                </c:pt>
                <c:pt idx="45">
                  <c:v>46.621916770935059</c:v>
                </c:pt>
                <c:pt idx="46">
                  <c:v>52.654424428939819</c:v>
                </c:pt>
                <c:pt idx="47">
                  <c:v>60.672755241394043</c:v>
                </c:pt>
                <c:pt idx="48">
                  <c:v>79.712518692016602</c:v>
                </c:pt>
                <c:pt idx="49">
                  <c:v>42.461035013198853</c:v>
                </c:pt>
                <c:pt idx="50">
                  <c:v>67.070388555526733</c:v>
                </c:pt>
                <c:pt idx="51">
                  <c:v>90.469123125076294</c:v>
                </c:pt>
                <c:pt idx="52">
                  <c:v>120.42516660690308</c:v>
                </c:pt>
                <c:pt idx="53">
                  <c:v>139.98164820671082</c:v>
                </c:pt>
                <c:pt idx="54">
                  <c:v>61.776869297027588</c:v>
                </c:pt>
                <c:pt idx="55">
                  <c:v>104.28994202613831</c:v>
                </c:pt>
                <c:pt idx="56">
                  <c:v>47.358207941055298</c:v>
                </c:pt>
                <c:pt idx="57">
                  <c:v>71.878479719161987</c:v>
                </c:pt>
                <c:pt idx="58">
                  <c:v>112.64932823181152</c:v>
                </c:pt>
                <c:pt idx="59">
                  <c:v>87.254958152770996</c:v>
                </c:pt>
                <c:pt idx="60">
                  <c:v>46.04869818687439</c:v>
                </c:pt>
                <c:pt idx="61">
                  <c:v>71.284972906112671</c:v>
                </c:pt>
                <c:pt idx="62">
                  <c:v>89.271804332733154</c:v>
                </c:pt>
                <c:pt idx="63">
                  <c:v>81.456031084060669</c:v>
                </c:pt>
                <c:pt idx="64">
                  <c:v>64.65061354637146</c:v>
                </c:pt>
                <c:pt idx="65">
                  <c:v>214.97415947914124</c:v>
                </c:pt>
                <c:pt idx="66">
                  <c:v>51.076391696929932</c:v>
                </c:pt>
                <c:pt idx="67">
                  <c:v>44.439793825149536</c:v>
                </c:pt>
                <c:pt idx="68">
                  <c:v>648.78776097297668</c:v>
                </c:pt>
                <c:pt idx="69">
                  <c:v>43.001488447189331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D2-4E09-96C8-08ECBDAE3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010352"/>
        <c:axId val="663656048"/>
      </c:barChart>
      <c:lineChart>
        <c:grouping val="standard"/>
        <c:varyColors val="0"/>
        <c:ser>
          <c:idx val="1"/>
          <c:order val="1"/>
          <c:tx>
            <c:v>Average</c:v>
          </c:tx>
          <c:marker>
            <c:symbol val="none"/>
          </c:marker>
          <c:cat>
            <c:strRef>
              <c:f>Sheet1!$E$8:$E$77</c:f>
              <c:strCache>
                <c:ptCount val="70"/>
                <c:pt idx="0">
                  <c:v>2023-04-03 11:55:34</c:v>
                </c:pt>
                <c:pt idx="1">
                  <c:v>2023-04-03 11:57:30</c:v>
                </c:pt>
                <c:pt idx="2">
                  <c:v>2023-04-03 11:59:03</c:v>
                </c:pt>
                <c:pt idx="3">
                  <c:v>2023-04-03 12:00:47</c:v>
                </c:pt>
                <c:pt idx="4">
                  <c:v>2023-04-03 12:03:42</c:v>
                </c:pt>
                <c:pt idx="5">
                  <c:v>2023-04-03 12:06:08</c:v>
                </c:pt>
                <c:pt idx="6">
                  <c:v>2023-04-03 12:07:36</c:v>
                </c:pt>
                <c:pt idx="7">
                  <c:v>2023-04-03 12:09:00</c:v>
                </c:pt>
                <c:pt idx="8">
                  <c:v>2023-04-03 12:10:07</c:v>
                </c:pt>
                <c:pt idx="9">
                  <c:v>2023-04-03 12:11:05</c:v>
                </c:pt>
                <c:pt idx="10">
                  <c:v>2023-04-03 12:11:58</c:v>
                </c:pt>
                <c:pt idx="11">
                  <c:v>2023-04-03 12:13:01</c:v>
                </c:pt>
                <c:pt idx="12">
                  <c:v>2023-04-03 12:13:59</c:v>
                </c:pt>
                <c:pt idx="13">
                  <c:v>2023-04-03 12:15:00</c:v>
                </c:pt>
                <c:pt idx="14">
                  <c:v>2023-04-03 12:16:25</c:v>
                </c:pt>
                <c:pt idx="15">
                  <c:v>2023-04-03 12:17:19</c:v>
                </c:pt>
                <c:pt idx="16">
                  <c:v>2023-04-03 12:18:40</c:v>
                </c:pt>
                <c:pt idx="17">
                  <c:v>2023-04-03 12:19:42</c:v>
                </c:pt>
                <c:pt idx="18">
                  <c:v>2023-04-03 12:21:10</c:v>
                </c:pt>
                <c:pt idx="19">
                  <c:v>2023-04-03 12:21:57</c:v>
                </c:pt>
                <c:pt idx="20">
                  <c:v>2023-04-03 12:22:53</c:v>
                </c:pt>
                <c:pt idx="21">
                  <c:v>2023-04-03 12:24:28</c:v>
                </c:pt>
                <c:pt idx="22">
                  <c:v>2023-04-03 12:25:29</c:v>
                </c:pt>
                <c:pt idx="23">
                  <c:v>2023-04-03 12:26:26</c:v>
                </c:pt>
                <c:pt idx="24">
                  <c:v>2023-04-03 12:27:33</c:v>
                </c:pt>
                <c:pt idx="25">
                  <c:v>2023-04-03 12:28:28</c:v>
                </c:pt>
                <c:pt idx="26">
                  <c:v>2023-04-03 12:29:19</c:v>
                </c:pt>
                <c:pt idx="27">
                  <c:v>2023-04-03 12:55:12</c:v>
                </c:pt>
                <c:pt idx="28">
                  <c:v>2023-04-03 12:57:20</c:v>
                </c:pt>
                <c:pt idx="29">
                  <c:v>2023-04-03 12:58:51</c:v>
                </c:pt>
                <c:pt idx="30">
                  <c:v>2023-04-03 12:59:54</c:v>
                </c:pt>
                <c:pt idx="31">
                  <c:v>2023-04-03 13:00:44</c:v>
                </c:pt>
                <c:pt idx="32">
                  <c:v>2023-04-03 13:01:36</c:v>
                </c:pt>
                <c:pt idx="33">
                  <c:v>2023-04-03 13:03:53</c:v>
                </c:pt>
                <c:pt idx="34">
                  <c:v>2023-04-03 13:05:51</c:v>
                </c:pt>
                <c:pt idx="35">
                  <c:v>2023-04-03 13:10:40</c:v>
                </c:pt>
                <c:pt idx="36">
                  <c:v>2023-04-03 13:11:16</c:v>
                </c:pt>
                <c:pt idx="37">
                  <c:v>2023-04-03 13:12:30</c:v>
                </c:pt>
                <c:pt idx="38">
                  <c:v>2023-04-03 13:13:20</c:v>
                </c:pt>
                <c:pt idx="39">
                  <c:v>2023-04-03 13:14:54</c:v>
                </c:pt>
                <c:pt idx="40">
                  <c:v>2023-04-03 13:15:43</c:v>
                </c:pt>
                <c:pt idx="41">
                  <c:v>2023-04-03 13:16:34</c:v>
                </c:pt>
                <c:pt idx="42">
                  <c:v>2023-04-03 13:18:14</c:v>
                </c:pt>
                <c:pt idx="43">
                  <c:v>2023-04-03 13:19:34</c:v>
                </c:pt>
                <c:pt idx="44">
                  <c:v>2023-04-03 13:20:18</c:v>
                </c:pt>
                <c:pt idx="45">
                  <c:v>2023-04-03 13:21:05</c:v>
                </c:pt>
                <c:pt idx="46">
                  <c:v>2023-04-03 13:21:58</c:v>
                </c:pt>
                <c:pt idx="47">
                  <c:v>2023-04-03 13:22:59</c:v>
                </c:pt>
                <c:pt idx="48">
                  <c:v>2023-04-03 13:24:19</c:v>
                </c:pt>
                <c:pt idx="49">
                  <c:v>2023-04-03 13:25:01</c:v>
                </c:pt>
                <c:pt idx="50">
                  <c:v>2023-04-03 13:26:08</c:v>
                </c:pt>
                <c:pt idx="51">
                  <c:v>2023-04-03 13:27:38</c:v>
                </c:pt>
                <c:pt idx="52">
                  <c:v>2023-04-03 13:29:38</c:v>
                </c:pt>
                <c:pt idx="53">
                  <c:v>2023-04-03 13:31:58</c:v>
                </c:pt>
                <c:pt idx="54">
                  <c:v>2023-04-03 13:33:00</c:v>
                </c:pt>
                <c:pt idx="55">
                  <c:v>2023-04-03 13:34:44</c:v>
                </c:pt>
                <c:pt idx="56">
                  <c:v>2023-04-03 13:35:31</c:v>
                </c:pt>
                <c:pt idx="57">
                  <c:v>2023-04-03 13:36:43</c:v>
                </c:pt>
                <c:pt idx="58">
                  <c:v>2023-04-03 13:38:36</c:v>
                </c:pt>
                <c:pt idx="59">
                  <c:v>2023-04-03 13:40:03</c:v>
                </c:pt>
                <c:pt idx="60">
                  <c:v>2023-04-03 13:40:49</c:v>
                </c:pt>
                <c:pt idx="61">
                  <c:v>2023-04-03 13:42:00</c:v>
                </c:pt>
                <c:pt idx="62">
                  <c:v>2023-04-03 13:43:29</c:v>
                </c:pt>
                <c:pt idx="63">
                  <c:v>2023-04-03 13:44:50</c:v>
                </c:pt>
                <c:pt idx="64">
                  <c:v>2023-04-03 13:45:55</c:v>
                </c:pt>
                <c:pt idx="65">
                  <c:v>2023-04-03 13:49:30</c:v>
                </c:pt>
                <c:pt idx="66">
                  <c:v>2023-04-03 13:50:21</c:v>
                </c:pt>
                <c:pt idx="67">
                  <c:v>2023-04-03 13:51:05</c:v>
                </c:pt>
                <c:pt idx="68">
                  <c:v>2023-04-03 14:01:54</c:v>
                </c:pt>
                <c:pt idx="69">
                  <c:v>2023-04-03 14:02:37</c:v>
                </c:pt>
              </c:strCache>
            </c:strRef>
          </c:cat>
          <c:val>
            <c:numRef>
              <c:f>Sheet1!$D$8:$D$77</c:f>
              <c:numCache>
                <c:formatCode>General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101.3531943957011</c:v>
                </c:pt>
                <c:pt idx="3">
                  <c:v>101.93926721811295</c:v>
                </c:pt>
                <c:pt idx="4">
                  <c:v>116.64664506912231</c:v>
                </c:pt>
                <c:pt idx="5">
                  <c:v>121.57362290223439</c:v>
                </c:pt>
                <c:pt idx="6">
                  <c:v>116.80414509773254</c:v>
                </c:pt>
                <c:pt idx="7">
                  <c:v>112.69107291102409</c:v>
                </c:pt>
                <c:pt idx="8">
                  <c:v>107.58233364423116</c:v>
                </c:pt>
                <c:pt idx="9">
                  <c:v>102.60017850399018</c:v>
                </c:pt>
                <c:pt idx="10">
                  <c:v>98.402260112762448</c:v>
                </c:pt>
                <c:pt idx="11">
                  <c:v>93.146358323097232</c:v>
                </c:pt>
                <c:pt idx="12">
                  <c:v>89.637453389167788</c:v>
                </c:pt>
                <c:pt idx="13">
                  <c:v>85.405944180488589</c:v>
                </c:pt>
                <c:pt idx="14">
                  <c:v>76.37970342636109</c:v>
                </c:pt>
                <c:pt idx="15">
                  <c:v>67.130141329765323</c:v>
                </c:pt>
                <c:pt idx="16">
                  <c:v>66.439134693145746</c:v>
                </c:pt>
                <c:pt idx="17">
                  <c:v>64.255134034156796</c:v>
                </c:pt>
                <c:pt idx="18">
                  <c:v>66.344833207130435</c:v>
                </c:pt>
                <c:pt idx="19">
                  <c:v>65.296825718879703</c:v>
                </c:pt>
                <c:pt idx="20">
                  <c:v>65.63033652305603</c:v>
                </c:pt>
                <c:pt idx="21">
                  <c:v>68.772179675102237</c:v>
                </c:pt>
                <c:pt idx="22">
                  <c:v>68.993881893157962</c:v>
                </c:pt>
                <c:pt idx="23">
                  <c:v>68.55721039772034</c:v>
                </c:pt>
                <c:pt idx="24">
                  <c:v>66.764915776252749</c:v>
                </c:pt>
                <c:pt idx="25">
                  <c:v>66.933343648910522</c:v>
                </c:pt>
                <c:pt idx="26">
                  <c:v>63.942885899543761</c:v>
                </c:pt>
                <c:pt idx="27">
                  <c:v>213.06284499168396</c:v>
                </c:pt>
                <c:pt idx="28">
                  <c:v>217.11511421203613</c:v>
                </c:pt>
                <c:pt idx="29">
                  <c:v>221.46162729263307</c:v>
                </c:pt>
                <c:pt idx="30">
                  <c:v>222.1877244234085</c:v>
                </c:pt>
                <c:pt idx="31">
                  <c:v>217.71297030448915</c:v>
                </c:pt>
                <c:pt idx="32">
                  <c:v>216.86218595504761</c:v>
                </c:pt>
                <c:pt idx="33">
                  <c:v>224.88722622394562</c:v>
                </c:pt>
                <c:pt idx="34">
                  <c:v>229.96686408519744</c:v>
                </c:pt>
                <c:pt idx="35">
                  <c:v>253.28315706253051</c:v>
                </c:pt>
                <c:pt idx="36">
                  <c:v>251.7486050605774</c:v>
                </c:pt>
                <c:pt idx="37">
                  <c:v>103.82835853099823</c:v>
                </c:pt>
                <c:pt idx="38">
                  <c:v>96.016227865219122</c:v>
                </c:pt>
                <c:pt idx="39">
                  <c:v>96.364076375961304</c:v>
                </c:pt>
                <c:pt idx="40">
                  <c:v>94.887448716163632</c:v>
                </c:pt>
                <c:pt idx="41">
                  <c:v>95.030743908882144</c:v>
                </c:pt>
                <c:pt idx="42">
                  <c:v>99.825785470008853</c:v>
                </c:pt>
                <c:pt idx="43">
                  <c:v>94.127378416061404</c:v>
                </c:pt>
                <c:pt idx="44">
                  <c:v>86.705852508544922</c:v>
                </c:pt>
                <c:pt idx="45">
                  <c:v>62.512034225463864</c:v>
                </c:pt>
                <c:pt idx="46">
                  <c:v>64.174765229225159</c:v>
                </c:pt>
                <c:pt idx="47">
                  <c:v>62.836372089385989</c:v>
                </c:pt>
                <c:pt idx="48">
                  <c:v>65.806544280052179</c:v>
                </c:pt>
                <c:pt idx="49">
                  <c:v>60.63021545410156</c:v>
                </c:pt>
                <c:pt idx="50">
                  <c:v>62.473967838287351</c:v>
                </c:pt>
                <c:pt idx="51">
                  <c:v>66.382031536102289</c:v>
                </c:pt>
                <c:pt idx="52">
                  <c:v>68.424126148223877</c:v>
                </c:pt>
                <c:pt idx="53">
                  <c:v>74.39408988952637</c:v>
                </c:pt>
                <c:pt idx="54">
                  <c:v>76.184584593772882</c:v>
                </c:pt>
                <c:pt idx="55">
                  <c:v>81.951387119293216</c:v>
                </c:pt>
                <c:pt idx="56">
                  <c:v>81.421765470504766</c:v>
                </c:pt>
                <c:pt idx="57">
                  <c:v>82.542337918281561</c:v>
                </c:pt>
                <c:pt idx="58">
                  <c:v>85.83601887226105</c:v>
                </c:pt>
                <c:pt idx="59">
                  <c:v>90.315411186218256</c:v>
                </c:pt>
                <c:pt idx="60">
                  <c:v>88.213242149353022</c:v>
                </c:pt>
                <c:pt idx="61">
                  <c:v>86.294827127456671</c:v>
                </c:pt>
                <c:pt idx="62">
                  <c:v>83.179490900039667</c:v>
                </c:pt>
                <c:pt idx="63">
                  <c:v>77.326929187774653</c:v>
                </c:pt>
                <c:pt idx="64">
                  <c:v>77.614303612709051</c:v>
                </c:pt>
                <c:pt idx="65">
                  <c:v>88.682725358009336</c:v>
                </c:pt>
                <c:pt idx="66">
                  <c:v>89.054543733596802</c:v>
                </c:pt>
                <c:pt idx="67">
                  <c:v>86.310675144195557</c:v>
                </c:pt>
                <c:pt idx="68">
                  <c:v>139.92451841831206</c:v>
                </c:pt>
                <c:pt idx="69">
                  <c:v>135.49917144775389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D2-4E09-96C8-08ECBDAE3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010352"/>
        <c:axId val="663656048"/>
      </c:lineChart>
      <c:catAx>
        <c:axId val="4810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3656048"/>
        <c:crosses val="autoZero"/>
        <c:auto val="1"/>
        <c:lblAlgn val="ctr"/>
        <c:lblOffset val="100"/>
        <c:noMultiLvlLbl val="0"/>
      </c:catAx>
      <c:valAx>
        <c:axId val="66365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0103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4</xdr:row>
          <xdr:rowOff>15240</xdr:rowOff>
        </xdr:from>
        <xdr:to>
          <xdr:col>9</xdr:col>
          <xdr:colOff>594360</xdr:colOff>
          <xdr:row>5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7</xdr:row>
          <xdr:rowOff>15240</xdr:rowOff>
        </xdr:from>
        <xdr:to>
          <xdr:col>10</xdr:col>
          <xdr:colOff>601980</xdr:colOff>
          <xdr:row>11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355600</xdr:colOff>
      <xdr:row>1</xdr:row>
      <xdr:rowOff>180340</xdr:rowOff>
    </xdr:from>
    <xdr:to>
      <xdr:col>19</xdr:col>
      <xdr:colOff>345440</xdr:colOff>
      <xdr:row>29</xdr:row>
      <xdr:rowOff>139700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47CEA1A-2A36-C18F-D917-59DC850BC8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9CF80F-9C84-4F52-8781-FC2A76140415}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epoch_time" tableColumnId="1"/>
      <queryTableField id="2" name="time_diff" tableColumnId="2"/>
      <queryTableField id="3" name="ip_address" tableColumnId="3"/>
      <queryTableField id="4" dataBound="0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F629771-8940-4FDE-994C-EF5EF86FE126}" name="Query1" displayName="Query1" ref="A7:E77" tableType="queryTable" totalsRowShown="0">
  <autoFilter ref="A7:E77" xr:uid="{0F629771-8940-4FDE-994C-EF5EF86FE126}"/>
  <tableColumns count="5">
    <tableColumn id="1" xr3:uid="{E37973AA-E602-48E0-BD9D-DB791E03AEE0}" uniqueName="1" name="epoch_time" queryTableFieldId="1"/>
    <tableColumn id="2" xr3:uid="{C068E58D-A0B6-4DAE-BFB6-AD9E89E34CB0}" uniqueName="2" name="time_diff" queryTableFieldId="2"/>
    <tableColumn id="3" xr3:uid="{8DE4DB37-F896-49F7-B196-B199CD69C4A0}" uniqueName="3" name="ip_address" queryTableFieldId="3" dataDxfId="2"/>
    <tableColumn id="4" xr3:uid="{636D7EDE-9040-4B47-B8C4-E5D7D976FD78}" uniqueName="4" name="Average" queryTableFieldId="4" dataDxfId="1"/>
    <tableColumn id="5" xr3:uid="{3F7D9EC4-7806-4473-A047-73AE83A222EF}" uniqueName="5" name="Date" queryTableFieldId="5" dataDxfId="0">
      <calculatedColumnFormula>TEXT(((Query1[[#This Row],[epoch_time]]-4*3600)/86400)+25569,"YYYY-MM-DD HH:MM:SS")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F2D1E-0FE7-4F94-A465-76407FBDA113}">
  <sheetPr codeName="Sheet3"/>
  <dimension ref="A2:H77"/>
  <sheetViews>
    <sheetView tabSelected="1" workbookViewId="0">
      <selection activeCell="A7" sqref="A7:E77"/>
    </sheetView>
  </sheetViews>
  <sheetFormatPr defaultRowHeight="14.4" x14ac:dyDescent="0.3"/>
  <cols>
    <col min="1" max="1" width="13.21875" bestFit="1" customWidth="1"/>
    <col min="2" max="2" width="12" bestFit="1" customWidth="1"/>
    <col min="3" max="3" width="12.21875" bestFit="1" customWidth="1"/>
    <col min="4" max="4" width="12" bestFit="1" customWidth="1"/>
    <col min="5" max="5" width="18.109375" bestFit="1" customWidth="1"/>
    <col min="8" max="8" width="15.44140625" bestFit="1" customWidth="1"/>
  </cols>
  <sheetData>
    <row r="2" spans="1:8" x14ac:dyDescent="0.3">
      <c r="D2" s="1" t="s">
        <v>4</v>
      </c>
      <c r="E2" s="2">
        <v>45019.496527777781</v>
      </c>
      <c r="H2" s="3">
        <f>(E2-DATE(1970,1,1))*86400+4*3600</f>
        <v>1680537300.0000002</v>
      </c>
    </row>
    <row r="3" spans="1:8" x14ac:dyDescent="0.3">
      <c r="D3" s="1" t="s">
        <v>5</v>
      </c>
      <c r="E3" s="2">
        <v>45019.585416666669</v>
      </c>
      <c r="H3" s="3">
        <f>(E3-DATE(1970,1,1))*86400+4*3600</f>
        <v>1680544980.0000002</v>
      </c>
    </row>
    <row r="7" spans="1:8" x14ac:dyDescent="0.3">
      <c r="A7" t="s">
        <v>0</v>
      </c>
      <c r="B7" t="s">
        <v>1</v>
      </c>
      <c r="C7" t="s">
        <v>2</v>
      </c>
      <c r="D7" t="s">
        <v>6</v>
      </c>
      <c r="E7" t="s">
        <v>7</v>
      </c>
    </row>
    <row r="8" spans="1:8" x14ac:dyDescent="0.3">
      <c r="A8">
        <v>1680537334</v>
      </c>
      <c r="B8">
        <v>94.782245874404921</v>
      </c>
      <c r="C8" s="4" t="s">
        <v>3</v>
      </c>
      <c r="D8" s="4" t="e">
        <f>AVERAGE(#REF!)</f>
        <v>#REF!</v>
      </c>
      <c r="E8" s="4" t="str">
        <f>TEXT(((Query1[[#This Row],[epoch_time]]-4*3600)/86400)+25569,"YYYY-MM-DD HH:MM:SS")</f>
        <v>2023-04-03 11:55:34</v>
      </c>
    </row>
    <row r="9" spans="1:8" x14ac:dyDescent="0.3">
      <c r="A9">
        <v>1680537450</v>
      </c>
      <c r="B9">
        <v>115.84366178512572</v>
      </c>
      <c r="C9" s="4" t="s">
        <v>3</v>
      </c>
      <c r="D9" s="4" t="e">
        <f>AVERAGE(#REF!)</f>
        <v>#REF!</v>
      </c>
      <c r="E9" s="4" t="str">
        <f>TEXT(((Query1[[#This Row],[epoch_time]]-4*3600)/86400)+25569,"YYYY-MM-DD HH:MM:SS")</f>
        <v>2023-04-03 11:57:30</v>
      </c>
    </row>
    <row r="10" spans="1:8" x14ac:dyDescent="0.3">
      <c r="A10">
        <v>1680537543</v>
      </c>
      <c r="B10">
        <v>93.433675527572646</v>
      </c>
      <c r="C10" s="4" t="s">
        <v>3</v>
      </c>
      <c r="D10" s="4">
        <f t="shared" ref="D10:D18" si="0">AVERAGE(B1:B10)</f>
        <v>101.3531943957011</v>
      </c>
      <c r="E10" s="4" t="str">
        <f>TEXT(((Query1[[#This Row],[epoch_time]]-4*3600)/86400)+25569,"YYYY-MM-DD HH:MM:SS")</f>
        <v>2023-04-03 11:59:03</v>
      </c>
    </row>
    <row r="11" spans="1:8" x14ac:dyDescent="0.3">
      <c r="A11">
        <v>1680537647</v>
      </c>
      <c r="B11">
        <v>103.69748568534852</v>
      </c>
      <c r="C11" s="4" t="s">
        <v>3</v>
      </c>
      <c r="D11" s="4">
        <f t="shared" si="0"/>
        <v>101.93926721811295</v>
      </c>
      <c r="E11" s="4" t="str">
        <f>TEXT(((Query1[[#This Row],[epoch_time]]-4*3600)/86400)+25569,"YYYY-MM-DD HH:MM:SS")</f>
        <v>2023-04-03 12:00:47</v>
      </c>
    </row>
    <row r="12" spans="1:8" x14ac:dyDescent="0.3">
      <c r="A12">
        <v>1680537822</v>
      </c>
      <c r="B12">
        <v>175.47615647315979</v>
      </c>
      <c r="C12" s="4" t="s">
        <v>3</v>
      </c>
      <c r="D12" s="4">
        <f t="shared" si="0"/>
        <v>116.64664506912231</v>
      </c>
      <c r="E12" s="4" t="str">
        <f>TEXT(((Query1[[#This Row],[epoch_time]]-4*3600)/86400)+25569,"YYYY-MM-DD HH:MM:SS")</f>
        <v>2023-04-03 12:03:42</v>
      </c>
    </row>
    <row r="13" spans="1:8" x14ac:dyDescent="0.3">
      <c r="A13">
        <v>1680537968</v>
      </c>
      <c r="B13">
        <v>146.2085120677948</v>
      </c>
      <c r="C13" s="4" t="s">
        <v>3</v>
      </c>
      <c r="D13" s="4">
        <f t="shared" si="0"/>
        <v>121.57362290223439</v>
      </c>
      <c r="E13" s="4" t="str">
        <f>TEXT(((Query1[[#This Row],[epoch_time]]-4*3600)/86400)+25569,"YYYY-MM-DD HH:MM:SS")</f>
        <v>2023-04-03 12:06:08</v>
      </c>
    </row>
    <row r="14" spans="1:8" x14ac:dyDescent="0.3">
      <c r="A14">
        <v>1680538056</v>
      </c>
      <c r="B14">
        <v>88.187278270721436</v>
      </c>
      <c r="C14" s="4" t="s">
        <v>3</v>
      </c>
      <c r="D14" s="4">
        <f t="shared" si="0"/>
        <v>116.80414509773254</v>
      </c>
      <c r="E14" s="4" t="str">
        <f>TEXT(((Query1[[#This Row],[epoch_time]]-4*3600)/86400)+25569,"YYYY-MM-DD HH:MM:SS")</f>
        <v>2023-04-03 12:07:36</v>
      </c>
    </row>
    <row r="15" spans="1:8" x14ac:dyDescent="0.3">
      <c r="A15">
        <v>1680538140</v>
      </c>
      <c r="B15">
        <v>83.899567604064941</v>
      </c>
      <c r="C15" s="4" t="s">
        <v>3</v>
      </c>
      <c r="D15" s="4">
        <f t="shared" si="0"/>
        <v>112.69107291102409</v>
      </c>
      <c r="E15" s="4" t="str">
        <f>TEXT(((Query1[[#This Row],[epoch_time]]-4*3600)/86400)+25569,"YYYY-MM-DD HH:MM:SS")</f>
        <v>2023-04-03 12:09:00</v>
      </c>
    </row>
    <row r="16" spans="1:8" x14ac:dyDescent="0.3">
      <c r="A16">
        <v>1680538207</v>
      </c>
      <c r="B16">
        <v>66.712419509887695</v>
      </c>
      <c r="C16" s="4" t="s">
        <v>3</v>
      </c>
      <c r="D16" s="4">
        <f t="shared" si="0"/>
        <v>107.58233364423116</v>
      </c>
      <c r="E16" s="4" t="str">
        <f>TEXT(((Query1[[#This Row],[epoch_time]]-4*3600)/86400)+25569,"YYYY-MM-DD HH:MM:SS")</f>
        <v>2023-04-03 12:10:07</v>
      </c>
    </row>
    <row r="17" spans="1:5" x14ac:dyDescent="0.3">
      <c r="A17">
        <v>1680538265</v>
      </c>
      <c r="B17">
        <v>57.760782241821289</v>
      </c>
      <c r="C17" s="4" t="s">
        <v>3</v>
      </c>
      <c r="D17" s="4">
        <f t="shared" si="0"/>
        <v>102.60017850399018</v>
      </c>
      <c r="E17" s="4" t="str">
        <f>TEXT(((Query1[[#This Row],[epoch_time]]-4*3600)/86400)+25569,"YYYY-MM-DD HH:MM:SS")</f>
        <v>2023-04-03 12:11:05</v>
      </c>
    </row>
    <row r="18" spans="1:5" x14ac:dyDescent="0.3">
      <c r="A18">
        <v>1680538318</v>
      </c>
      <c r="B18">
        <v>52.803061962127686</v>
      </c>
      <c r="C18" s="4" t="s">
        <v>3</v>
      </c>
      <c r="D18" s="4">
        <f t="shared" si="0"/>
        <v>98.402260112762448</v>
      </c>
      <c r="E18" s="4" t="str">
        <f>TEXT(((Query1[[#This Row],[epoch_time]]-4*3600)/86400)+25569,"YYYY-MM-DD HH:MM:SS")</f>
        <v>2023-04-03 12:11:58</v>
      </c>
    </row>
    <row r="19" spans="1:5" x14ac:dyDescent="0.3">
      <c r="A19">
        <v>1680538381</v>
      </c>
      <c r="B19">
        <v>63.284643888473511</v>
      </c>
      <c r="C19" s="4" t="s">
        <v>3</v>
      </c>
      <c r="D19" s="4">
        <f>AVERAGE(B10:B19)</f>
        <v>93.146358323097232</v>
      </c>
      <c r="E19" s="4" t="str">
        <f>TEXT(((Query1[[#This Row],[epoch_time]]-4*3600)/86400)+25569,"YYYY-MM-DD HH:MM:SS")</f>
        <v>2023-04-03 12:13:01</v>
      </c>
    </row>
    <row r="20" spans="1:5" x14ac:dyDescent="0.3">
      <c r="A20">
        <v>1680538439</v>
      </c>
      <c r="B20">
        <v>58.344626188278198</v>
      </c>
      <c r="C20" s="4" t="s">
        <v>3</v>
      </c>
      <c r="D20" s="4">
        <f t="shared" ref="D20:D76" si="1">AVERAGE(B11:B20)</f>
        <v>89.637453389167788</v>
      </c>
      <c r="E20" s="4" t="str">
        <f>TEXT(((Query1[[#This Row],[epoch_time]]-4*3600)/86400)+25569,"YYYY-MM-DD HH:MM:SS")</f>
        <v>2023-04-03 12:13:59</v>
      </c>
    </row>
    <row r="21" spans="1:5" x14ac:dyDescent="0.3">
      <c r="A21">
        <v>1680538500</v>
      </c>
      <c r="B21">
        <v>61.382393598556519</v>
      </c>
      <c r="C21" s="4" t="s">
        <v>3</v>
      </c>
      <c r="D21" s="4">
        <f t="shared" si="1"/>
        <v>85.405944180488589</v>
      </c>
      <c r="E21" s="4" t="str">
        <f>TEXT(((Query1[[#This Row],[epoch_time]]-4*3600)/86400)+25569,"YYYY-MM-DD HH:MM:SS")</f>
        <v>2023-04-03 12:15:00</v>
      </c>
    </row>
    <row r="22" spans="1:5" x14ac:dyDescent="0.3">
      <c r="A22">
        <v>1680538585</v>
      </c>
      <c r="B22">
        <v>85.213748931884766</v>
      </c>
      <c r="C22" s="4" t="s">
        <v>3</v>
      </c>
      <c r="D22" s="4">
        <f t="shared" si="1"/>
        <v>76.37970342636109</v>
      </c>
      <c r="E22" s="4" t="str">
        <f>TEXT(((Query1[[#This Row],[epoch_time]]-4*3600)/86400)+25569,"YYYY-MM-DD HH:MM:SS")</f>
        <v>2023-04-03 12:16:25</v>
      </c>
    </row>
    <row r="23" spans="1:5" x14ac:dyDescent="0.3">
      <c r="A23">
        <v>1680538639</v>
      </c>
      <c r="B23">
        <v>53.712891101837158</v>
      </c>
      <c r="C23" s="4" t="s">
        <v>3</v>
      </c>
      <c r="D23" s="4">
        <f t="shared" si="1"/>
        <v>67.130141329765323</v>
      </c>
      <c r="E23" s="4" t="str">
        <f>TEXT(((Query1[[#This Row],[epoch_time]]-4*3600)/86400)+25569,"YYYY-MM-DD HH:MM:SS")</f>
        <v>2023-04-03 12:17:19</v>
      </c>
    </row>
    <row r="24" spans="1:5" x14ac:dyDescent="0.3">
      <c r="A24">
        <v>1680538720</v>
      </c>
      <c r="B24">
        <v>81.277211904525757</v>
      </c>
      <c r="C24" s="4" t="s">
        <v>3</v>
      </c>
      <c r="D24" s="4">
        <f t="shared" si="1"/>
        <v>66.439134693145746</v>
      </c>
      <c r="E24" s="4" t="str">
        <f>TEXT(((Query1[[#This Row],[epoch_time]]-4*3600)/86400)+25569,"YYYY-MM-DD HH:MM:SS")</f>
        <v>2023-04-03 12:18:40</v>
      </c>
    </row>
    <row r="25" spans="1:5" x14ac:dyDescent="0.3">
      <c r="A25">
        <v>1680538782</v>
      </c>
      <c r="B25">
        <v>62.059561014175415</v>
      </c>
      <c r="C25" s="4" t="s">
        <v>3</v>
      </c>
      <c r="D25" s="4">
        <f t="shared" si="1"/>
        <v>64.255134034156796</v>
      </c>
      <c r="E25" s="4" t="str">
        <f>TEXT(((Query1[[#This Row],[epoch_time]]-4*3600)/86400)+25569,"YYYY-MM-DD HH:MM:SS")</f>
        <v>2023-04-03 12:19:42</v>
      </c>
    </row>
    <row r="26" spans="1:5" x14ac:dyDescent="0.3">
      <c r="A26">
        <v>1680538870</v>
      </c>
      <c r="B26">
        <v>87.609411239624023</v>
      </c>
      <c r="C26" s="4" t="s">
        <v>3</v>
      </c>
      <c r="D26" s="4">
        <f t="shared" si="1"/>
        <v>66.344833207130435</v>
      </c>
      <c r="E26" s="4" t="str">
        <f>TEXT(((Query1[[#This Row],[epoch_time]]-4*3600)/86400)+25569,"YYYY-MM-DD HH:MM:SS")</f>
        <v>2023-04-03 12:21:10</v>
      </c>
    </row>
    <row r="27" spans="1:5" x14ac:dyDescent="0.3">
      <c r="A27">
        <v>1680538917</v>
      </c>
      <c r="B27">
        <v>47.280707359313965</v>
      </c>
      <c r="C27" s="4" t="s">
        <v>3</v>
      </c>
      <c r="D27" s="4">
        <f t="shared" si="1"/>
        <v>65.296825718879703</v>
      </c>
      <c r="E27" s="4" t="str">
        <f>TEXT(((Query1[[#This Row],[epoch_time]]-4*3600)/86400)+25569,"YYYY-MM-DD HH:MM:SS")</f>
        <v>2023-04-03 12:21:57</v>
      </c>
    </row>
    <row r="28" spans="1:5" x14ac:dyDescent="0.3">
      <c r="A28">
        <v>1680538973</v>
      </c>
      <c r="B28">
        <v>56.138170003890991</v>
      </c>
      <c r="C28" s="4" t="s">
        <v>3</v>
      </c>
      <c r="D28" s="4">
        <f t="shared" si="1"/>
        <v>65.63033652305603</v>
      </c>
      <c r="E28" s="4" t="str">
        <f>TEXT(((Query1[[#This Row],[epoch_time]]-4*3600)/86400)+25569,"YYYY-MM-DD HH:MM:SS")</f>
        <v>2023-04-03 12:22:53</v>
      </c>
    </row>
    <row r="29" spans="1:5" x14ac:dyDescent="0.3">
      <c r="A29">
        <v>1680539068</v>
      </c>
      <c r="B29">
        <v>94.703075408935561</v>
      </c>
      <c r="C29" s="4" t="s">
        <v>3</v>
      </c>
      <c r="D29" s="4">
        <f t="shared" si="1"/>
        <v>68.772179675102237</v>
      </c>
      <c r="E29" s="4" t="str">
        <f>TEXT(((Query1[[#This Row],[epoch_time]]-4*3600)/86400)+25569,"YYYY-MM-DD HH:MM:SS")</f>
        <v>2023-04-03 12:24:28</v>
      </c>
    </row>
    <row r="30" spans="1:5" x14ac:dyDescent="0.3">
      <c r="A30">
        <v>1680539129</v>
      </c>
      <c r="B30">
        <v>60.561648368835449</v>
      </c>
      <c r="C30" s="4" t="s">
        <v>3</v>
      </c>
      <c r="D30" s="4">
        <f t="shared" si="1"/>
        <v>68.993881893157962</v>
      </c>
      <c r="E30" s="4" t="str">
        <f>TEXT(((Query1[[#This Row],[epoch_time]]-4*3600)/86400)+25569,"YYYY-MM-DD HH:MM:SS")</f>
        <v>2023-04-03 12:25:29</v>
      </c>
    </row>
    <row r="31" spans="1:5" x14ac:dyDescent="0.3">
      <c r="A31">
        <v>1680539186</v>
      </c>
      <c r="B31">
        <v>57.015678644180298</v>
      </c>
      <c r="C31" s="4" t="s">
        <v>3</v>
      </c>
      <c r="D31" s="4">
        <f t="shared" si="1"/>
        <v>68.55721039772034</v>
      </c>
      <c r="E31" s="4" t="str">
        <f>TEXT(((Query1[[#This Row],[epoch_time]]-4*3600)/86400)+25569,"YYYY-MM-DD HH:MM:SS")</f>
        <v>2023-04-03 12:26:26</v>
      </c>
    </row>
    <row r="32" spans="1:5" x14ac:dyDescent="0.3">
      <c r="A32">
        <v>1680539253</v>
      </c>
      <c r="B32">
        <v>67.290802717208862</v>
      </c>
      <c r="C32" s="4" t="s">
        <v>3</v>
      </c>
      <c r="D32" s="4">
        <f t="shared" si="1"/>
        <v>66.764915776252749</v>
      </c>
      <c r="E32" s="4" t="str">
        <f>TEXT(((Query1[[#This Row],[epoch_time]]-4*3600)/86400)+25569,"YYYY-MM-DD HH:MM:SS")</f>
        <v>2023-04-03 12:27:33</v>
      </c>
    </row>
    <row r="33" spans="1:5" x14ac:dyDescent="0.3">
      <c r="A33">
        <v>1680539308</v>
      </c>
      <c r="B33">
        <v>55.397169828414917</v>
      </c>
      <c r="C33" s="4" t="s">
        <v>3</v>
      </c>
      <c r="D33" s="4">
        <f t="shared" si="1"/>
        <v>66.933343648910522</v>
      </c>
      <c r="E33" s="4" t="str">
        <f>TEXT(((Query1[[#This Row],[epoch_time]]-4*3600)/86400)+25569,"YYYY-MM-DD HH:MM:SS")</f>
        <v>2023-04-03 12:28:28</v>
      </c>
    </row>
    <row r="34" spans="1:5" x14ac:dyDescent="0.3">
      <c r="A34">
        <v>1680539359</v>
      </c>
      <c r="B34">
        <v>51.372634410858154</v>
      </c>
      <c r="C34" s="4" t="s">
        <v>3</v>
      </c>
      <c r="D34" s="4">
        <f t="shared" si="1"/>
        <v>63.942885899543761</v>
      </c>
      <c r="E34" s="4" t="str">
        <f>TEXT(((Query1[[#This Row],[epoch_time]]-4*3600)/86400)+25569,"YYYY-MM-DD HH:MM:SS")</f>
        <v>2023-04-03 12:29:19</v>
      </c>
    </row>
    <row r="35" spans="1:5" x14ac:dyDescent="0.3">
      <c r="A35">
        <v>1680540912</v>
      </c>
      <c r="B35">
        <v>1553.2591519355774</v>
      </c>
      <c r="C35" s="4" t="s">
        <v>3</v>
      </c>
      <c r="D35" s="4">
        <f t="shared" si="1"/>
        <v>213.06284499168396</v>
      </c>
      <c r="E35" s="4" t="str">
        <f>TEXT(((Query1[[#This Row],[epoch_time]]-4*3600)/86400)+25569,"YYYY-MM-DD HH:MM:SS")</f>
        <v>2023-04-03 12:55:12</v>
      </c>
    </row>
    <row r="36" spans="1:5" x14ac:dyDescent="0.3">
      <c r="A36">
        <v>1680541040</v>
      </c>
      <c r="B36">
        <v>128.13210344314575</v>
      </c>
      <c r="C36" s="4" t="s">
        <v>3</v>
      </c>
      <c r="D36" s="4">
        <f t="shared" si="1"/>
        <v>217.11511421203613</v>
      </c>
      <c r="E36" s="4" t="str">
        <f>TEXT(((Query1[[#This Row],[epoch_time]]-4*3600)/86400)+25569,"YYYY-MM-DD HH:MM:SS")</f>
        <v>2023-04-03 12:57:20</v>
      </c>
    </row>
    <row r="37" spans="1:5" x14ac:dyDescent="0.3">
      <c r="A37">
        <v>1680541131</v>
      </c>
      <c r="B37">
        <v>90.745838165283203</v>
      </c>
      <c r="C37" s="4" t="s">
        <v>3</v>
      </c>
      <c r="D37" s="4">
        <f t="shared" si="1"/>
        <v>221.46162729263307</v>
      </c>
      <c r="E37" s="4" t="str">
        <f>TEXT(((Query1[[#This Row],[epoch_time]]-4*3600)/86400)+25569,"YYYY-MM-DD HH:MM:SS")</f>
        <v>2023-04-03 12:58:51</v>
      </c>
    </row>
    <row r="38" spans="1:5" x14ac:dyDescent="0.3">
      <c r="A38">
        <v>1680541194</v>
      </c>
      <c r="B38">
        <v>63.399141311645508</v>
      </c>
      <c r="C38" s="4" t="s">
        <v>3</v>
      </c>
      <c r="D38" s="4">
        <f t="shared" si="1"/>
        <v>222.1877244234085</v>
      </c>
      <c r="E38" s="4" t="str">
        <f>TEXT(((Query1[[#This Row],[epoch_time]]-4*3600)/86400)+25569,"YYYY-MM-DD HH:MM:SS")</f>
        <v>2023-04-03 12:59:54</v>
      </c>
    </row>
    <row r="39" spans="1:5" x14ac:dyDescent="0.3">
      <c r="A39">
        <v>1680541244</v>
      </c>
      <c r="B39">
        <v>49.955534219741821</v>
      </c>
      <c r="C39" s="4" t="s">
        <v>3</v>
      </c>
      <c r="D39" s="4">
        <f t="shared" si="1"/>
        <v>217.71297030448915</v>
      </c>
      <c r="E39" s="4" t="str">
        <f>TEXT(((Query1[[#This Row],[epoch_time]]-4*3600)/86400)+25569,"YYYY-MM-DD HH:MM:SS")</f>
        <v>2023-04-03 13:00:44</v>
      </c>
    </row>
    <row r="40" spans="1:5" x14ac:dyDescent="0.3">
      <c r="A40">
        <v>1680541296</v>
      </c>
      <c r="B40">
        <v>52.053804874420166</v>
      </c>
      <c r="C40" s="4" t="s">
        <v>3</v>
      </c>
      <c r="D40" s="4">
        <f t="shared" si="1"/>
        <v>216.86218595504761</v>
      </c>
      <c r="E40" s="4" t="str">
        <f>TEXT(((Query1[[#This Row],[epoch_time]]-4*3600)/86400)+25569,"YYYY-MM-DD HH:MM:SS")</f>
        <v>2023-04-03 13:01:36</v>
      </c>
    </row>
    <row r="41" spans="1:5" x14ac:dyDescent="0.3">
      <c r="A41">
        <v>1680541433</v>
      </c>
      <c r="B41">
        <v>137.2660813331604</v>
      </c>
      <c r="C41" s="4" t="s">
        <v>3</v>
      </c>
      <c r="D41" s="4">
        <f t="shared" si="1"/>
        <v>224.88722622394562</v>
      </c>
      <c r="E41" s="4" t="str">
        <f>TEXT(((Query1[[#This Row],[epoch_time]]-4*3600)/86400)+25569,"YYYY-MM-DD HH:MM:SS")</f>
        <v>2023-04-03 13:03:53</v>
      </c>
    </row>
    <row r="42" spans="1:5" x14ac:dyDescent="0.3">
      <c r="A42">
        <v>1680541551</v>
      </c>
      <c r="B42">
        <v>118.08718132972716</v>
      </c>
      <c r="C42" s="4" t="s">
        <v>3</v>
      </c>
      <c r="D42" s="4">
        <f t="shared" si="1"/>
        <v>229.96686408519744</v>
      </c>
      <c r="E42" s="4" t="str">
        <f>TEXT(((Query1[[#This Row],[epoch_time]]-4*3600)/86400)+25569,"YYYY-MM-DD HH:MM:SS")</f>
        <v>2023-04-03 13:05:51</v>
      </c>
    </row>
    <row r="43" spans="1:5" x14ac:dyDescent="0.3">
      <c r="A43">
        <v>1680541840</v>
      </c>
      <c r="B43">
        <v>288.56009960174561</v>
      </c>
      <c r="C43" s="4" t="s">
        <v>3</v>
      </c>
      <c r="D43" s="4">
        <f t="shared" si="1"/>
        <v>253.28315706253051</v>
      </c>
      <c r="E43" s="4" t="str">
        <f>TEXT(((Query1[[#This Row],[epoch_time]]-4*3600)/86400)+25569,"YYYY-MM-DD HH:MM:SS")</f>
        <v>2023-04-03 13:10:40</v>
      </c>
    </row>
    <row r="44" spans="1:5" x14ac:dyDescent="0.3">
      <c r="A44">
        <v>1680541876</v>
      </c>
      <c r="B44">
        <v>36.027114391326904</v>
      </c>
      <c r="C44" s="4" t="s">
        <v>3</v>
      </c>
      <c r="D44" s="4">
        <f t="shared" si="1"/>
        <v>251.7486050605774</v>
      </c>
      <c r="E44" s="4" t="str">
        <f>TEXT(((Query1[[#This Row],[epoch_time]]-4*3600)/86400)+25569,"YYYY-MM-DD HH:MM:SS")</f>
        <v>2023-04-03 13:11:16</v>
      </c>
    </row>
    <row r="45" spans="1:5" x14ac:dyDescent="0.3">
      <c r="A45">
        <v>1680541950</v>
      </c>
      <c r="B45">
        <v>74.056686639785767</v>
      </c>
      <c r="C45" s="4" t="s">
        <v>3</v>
      </c>
      <c r="D45" s="4">
        <f t="shared" si="1"/>
        <v>103.82835853099823</v>
      </c>
      <c r="E45" s="4" t="str">
        <f>TEXT(((Query1[[#This Row],[epoch_time]]-4*3600)/86400)+25569,"YYYY-MM-DD HH:MM:SS")</f>
        <v>2023-04-03 13:12:30</v>
      </c>
    </row>
    <row r="46" spans="1:5" x14ac:dyDescent="0.3">
      <c r="A46">
        <v>1680542000</v>
      </c>
      <c r="B46">
        <v>50.010796785354614</v>
      </c>
      <c r="C46" s="4" t="s">
        <v>3</v>
      </c>
      <c r="D46" s="4">
        <f t="shared" si="1"/>
        <v>96.016227865219122</v>
      </c>
      <c r="E46" s="4" t="str">
        <f>TEXT(((Query1[[#This Row],[epoch_time]]-4*3600)/86400)+25569,"YYYY-MM-DD HH:MM:SS")</f>
        <v>2023-04-03 13:13:20</v>
      </c>
    </row>
    <row r="47" spans="1:5" x14ac:dyDescent="0.3">
      <c r="A47">
        <v>1680542094</v>
      </c>
      <c r="B47">
        <v>94.224323272705078</v>
      </c>
      <c r="C47" s="4" t="s">
        <v>3</v>
      </c>
      <c r="D47" s="4">
        <f t="shared" si="1"/>
        <v>96.364076375961304</v>
      </c>
      <c r="E47" s="4" t="str">
        <f>TEXT(((Query1[[#This Row],[epoch_time]]-4*3600)/86400)+25569,"YYYY-MM-DD HH:MM:SS")</f>
        <v>2023-04-03 13:14:54</v>
      </c>
    </row>
    <row r="48" spans="1:5" x14ac:dyDescent="0.3">
      <c r="A48">
        <v>1680542143</v>
      </c>
      <c r="B48">
        <v>48.632864713668823</v>
      </c>
      <c r="C48" s="4" t="s">
        <v>3</v>
      </c>
      <c r="D48" s="4">
        <f t="shared" si="1"/>
        <v>94.887448716163632</v>
      </c>
      <c r="E48" s="4" t="str">
        <f>TEXT(((Query1[[#This Row],[epoch_time]]-4*3600)/86400)+25569,"YYYY-MM-DD HH:MM:SS")</f>
        <v>2023-04-03 13:15:43</v>
      </c>
    </row>
    <row r="49" spans="1:5" x14ac:dyDescent="0.3">
      <c r="A49">
        <v>1680542194</v>
      </c>
      <c r="B49">
        <v>51.38848614692688</v>
      </c>
      <c r="C49" s="4" t="s">
        <v>3</v>
      </c>
      <c r="D49" s="4">
        <f t="shared" si="1"/>
        <v>95.030743908882144</v>
      </c>
      <c r="E49" s="4" t="str">
        <f>TEXT(((Query1[[#This Row],[epoch_time]]-4*3600)/86400)+25569,"YYYY-MM-DD HH:MM:SS")</f>
        <v>2023-04-03 13:16:34</v>
      </c>
    </row>
    <row r="50" spans="1:5" x14ac:dyDescent="0.3">
      <c r="A50">
        <v>1680542294</v>
      </c>
      <c r="B50">
        <v>100.00422048568726</v>
      </c>
      <c r="C50" s="4" t="s">
        <v>3</v>
      </c>
      <c r="D50" s="4">
        <f t="shared" si="1"/>
        <v>99.825785470008853</v>
      </c>
      <c r="E50" s="4" t="str">
        <f>TEXT(((Query1[[#This Row],[epoch_time]]-4*3600)/86400)+25569,"YYYY-MM-DD HH:MM:SS")</f>
        <v>2023-04-03 13:18:14</v>
      </c>
    </row>
    <row r="51" spans="1:5" x14ac:dyDescent="0.3">
      <c r="A51">
        <v>1680542374</v>
      </c>
      <c r="B51">
        <v>80.282010793685913</v>
      </c>
      <c r="C51" s="4" t="s">
        <v>3</v>
      </c>
      <c r="D51" s="4">
        <f t="shared" si="1"/>
        <v>94.127378416061404</v>
      </c>
      <c r="E51" s="4" t="str">
        <f>TEXT(((Query1[[#This Row],[epoch_time]]-4*3600)/86400)+25569,"YYYY-MM-DD HH:MM:SS")</f>
        <v>2023-04-03 13:19:34</v>
      </c>
    </row>
    <row r="52" spans="1:5" x14ac:dyDescent="0.3">
      <c r="A52">
        <v>1680542418</v>
      </c>
      <c r="B52">
        <v>43.871922254562378</v>
      </c>
      <c r="C52" s="4" t="s">
        <v>3</v>
      </c>
      <c r="D52" s="4">
        <f t="shared" si="1"/>
        <v>86.705852508544922</v>
      </c>
      <c r="E52" s="4" t="str">
        <f>TEXT(((Query1[[#This Row],[epoch_time]]-4*3600)/86400)+25569,"YYYY-MM-DD HH:MM:SS")</f>
        <v>2023-04-03 13:20:18</v>
      </c>
    </row>
    <row r="53" spans="1:5" x14ac:dyDescent="0.3">
      <c r="A53">
        <v>1680542465</v>
      </c>
      <c r="B53">
        <v>46.621916770935059</v>
      </c>
      <c r="C53" s="4" t="s">
        <v>3</v>
      </c>
      <c r="D53" s="4">
        <f t="shared" si="1"/>
        <v>62.512034225463864</v>
      </c>
      <c r="E53" s="4" t="str">
        <f>TEXT(((Query1[[#This Row],[epoch_time]]-4*3600)/86400)+25569,"YYYY-MM-DD HH:MM:SS")</f>
        <v>2023-04-03 13:21:05</v>
      </c>
    </row>
    <row r="54" spans="1:5" x14ac:dyDescent="0.3">
      <c r="A54">
        <v>1680542518</v>
      </c>
      <c r="B54">
        <v>52.654424428939819</v>
      </c>
      <c r="C54" s="4" t="s">
        <v>3</v>
      </c>
      <c r="D54" s="4">
        <f t="shared" si="1"/>
        <v>64.174765229225159</v>
      </c>
      <c r="E54" s="4" t="str">
        <f>TEXT(((Query1[[#This Row],[epoch_time]]-4*3600)/86400)+25569,"YYYY-MM-DD HH:MM:SS")</f>
        <v>2023-04-03 13:21:58</v>
      </c>
    </row>
    <row r="55" spans="1:5" x14ac:dyDescent="0.3">
      <c r="A55">
        <v>1680542579</v>
      </c>
      <c r="B55">
        <v>60.672755241394043</v>
      </c>
      <c r="C55" s="4" t="s">
        <v>3</v>
      </c>
      <c r="D55" s="4">
        <f t="shared" si="1"/>
        <v>62.836372089385989</v>
      </c>
      <c r="E55" s="4" t="str">
        <f>TEXT(((Query1[[#This Row],[epoch_time]]-4*3600)/86400)+25569,"YYYY-MM-DD HH:MM:SS")</f>
        <v>2023-04-03 13:22:59</v>
      </c>
    </row>
    <row r="56" spans="1:5" x14ac:dyDescent="0.3">
      <c r="A56">
        <v>1680542659</v>
      </c>
      <c r="B56">
        <v>79.712518692016602</v>
      </c>
      <c r="C56" s="4" t="s">
        <v>3</v>
      </c>
      <c r="D56" s="4">
        <f t="shared" si="1"/>
        <v>65.806544280052179</v>
      </c>
      <c r="E56" s="4" t="str">
        <f>TEXT(((Query1[[#This Row],[epoch_time]]-4*3600)/86400)+25569,"YYYY-MM-DD HH:MM:SS")</f>
        <v>2023-04-03 13:24:19</v>
      </c>
    </row>
    <row r="57" spans="1:5" x14ac:dyDescent="0.3">
      <c r="A57">
        <v>1680542701</v>
      </c>
      <c r="B57">
        <v>42.461035013198853</v>
      </c>
      <c r="C57" s="4" t="s">
        <v>3</v>
      </c>
      <c r="D57" s="4">
        <f t="shared" si="1"/>
        <v>60.63021545410156</v>
      </c>
      <c r="E57" s="4" t="str">
        <f>TEXT(((Query1[[#This Row],[epoch_time]]-4*3600)/86400)+25569,"YYYY-MM-DD HH:MM:SS")</f>
        <v>2023-04-03 13:25:01</v>
      </c>
    </row>
    <row r="58" spans="1:5" x14ac:dyDescent="0.3">
      <c r="A58">
        <v>1680542768</v>
      </c>
      <c r="B58">
        <v>67.070388555526733</v>
      </c>
      <c r="C58" s="4" t="s">
        <v>3</v>
      </c>
      <c r="D58" s="4">
        <f t="shared" si="1"/>
        <v>62.473967838287351</v>
      </c>
      <c r="E58" s="4" t="str">
        <f>TEXT(((Query1[[#This Row],[epoch_time]]-4*3600)/86400)+25569,"YYYY-MM-DD HH:MM:SS")</f>
        <v>2023-04-03 13:26:08</v>
      </c>
    </row>
    <row r="59" spans="1:5" x14ac:dyDescent="0.3">
      <c r="A59">
        <v>1680542858</v>
      </c>
      <c r="B59">
        <v>90.469123125076294</v>
      </c>
      <c r="C59" s="4" t="s">
        <v>3</v>
      </c>
      <c r="D59" s="4">
        <f t="shared" si="1"/>
        <v>66.382031536102289</v>
      </c>
      <c r="E59" s="4" t="str">
        <f>TEXT(((Query1[[#This Row],[epoch_time]]-4*3600)/86400)+25569,"YYYY-MM-DD HH:MM:SS")</f>
        <v>2023-04-03 13:27:38</v>
      </c>
    </row>
    <row r="60" spans="1:5" x14ac:dyDescent="0.3">
      <c r="A60">
        <v>1680542978</v>
      </c>
      <c r="B60">
        <v>120.42516660690308</v>
      </c>
      <c r="C60" s="4" t="s">
        <v>3</v>
      </c>
      <c r="D60" s="4">
        <f t="shared" si="1"/>
        <v>68.424126148223877</v>
      </c>
      <c r="E60" s="4" t="str">
        <f>TEXT(((Query1[[#This Row],[epoch_time]]-4*3600)/86400)+25569,"YYYY-MM-DD HH:MM:SS")</f>
        <v>2023-04-03 13:29:38</v>
      </c>
    </row>
    <row r="61" spans="1:5" x14ac:dyDescent="0.3">
      <c r="A61">
        <v>1680543118</v>
      </c>
      <c r="B61">
        <v>139.98164820671082</v>
      </c>
      <c r="C61" s="4" t="s">
        <v>3</v>
      </c>
      <c r="D61" s="4">
        <f t="shared" si="1"/>
        <v>74.39408988952637</v>
      </c>
      <c r="E61" s="4" t="str">
        <f>TEXT(((Query1[[#This Row],[epoch_time]]-4*3600)/86400)+25569,"YYYY-MM-DD HH:MM:SS")</f>
        <v>2023-04-03 13:31:58</v>
      </c>
    </row>
    <row r="62" spans="1:5" x14ac:dyDescent="0.3">
      <c r="A62">
        <v>1680543180</v>
      </c>
      <c r="B62">
        <v>61.776869297027588</v>
      </c>
      <c r="C62" s="4" t="s">
        <v>3</v>
      </c>
      <c r="D62" s="4">
        <f t="shared" si="1"/>
        <v>76.184584593772882</v>
      </c>
      <c r="E62" s="4" t="str">
        <f>TEXT(((Query1[[#This Row],[epoch_time]]-4*3600)/86400)+25569,"YYYY-MM-DD HH:MM:SS")</f>
        <v>2023-04-03 13:33:00</v>
      </c>
    </row>
    <row r="63" spans="1:5" x14ac:dyDescent="0.3">
      <c r="A63">
        <v>1680543284</v>
      </c>
      <c r="B63">
        <v>104.28994202613831</v>
      </c>
      <c r="C63" s="4" t="s">
        <v>3</v>
      </c>
      <c r="D63" s="4">
        <f t="shared" si="1"/>
        <v>81.951387119293216</v>
      </c>
      <c r="E63" s="4" t="str">
        <f>TEXT(((Query1[[#This Row],[epoch_time]]-4*3600)/86400)+25569,"YYYY-MM-DD HH:MM:SS")</f>
        <v>2023-04-03 13:34:44</v>
      </c>
    </row>
    <row r="64" spans="1:5" x14ac:dyDescent="0.3">
      <c r="A64">
        <v>1680543331</v>
      </c>
      <c r="B64">
        <v>47.358207941055298</v>
      </c>
      <c r="C64" s="4" t="s">
        <v>3</v>
      </c>
      <c r="D64" s="4">
        <f t="shared" si="1"/>
        <v>81.421765470504766</v>
      </c>
      <c r="E64" s="4" t="str">
        <f>TEXT(((Query1[[#This Row],[epoch_time]]-4*3600)/86400)+25569,"YYYY-MM-DD HH:MM:SS")</f>
        <v>2023-04-03 13:35:31</v>
      </c>
    </row>
    <row r="65" spans="1:5" x14ac:dyDescent="0.3">
      <c r="A65">
        <v>1680543403</v>
      </c>
      <c r="B65">
        <v>71.878479719161987</v>
      </c>
      <c r="C65" s="4" t="s">
        <v>3</v>
      </c>
      <c r="D65" s="4">
        <f t="shared" si="1"/>
        <v>82.542337918281561</v>
      </c>
      <c r="E65" s="4" t="str">
        <f>TEXT(((Query1[[#This Row],[epoch_time]]-4*3600)/86400)+25569,"YYYY-MM-DD HH:MM:SS")</f>
        <v>2023-04-03 13:36:43</v>
      </c>
    </row>
    <row r="66" spans="1:5" x14ac:dyDescent="0.3">
      <c r="A66">
        <v>1680543516</v>
      </c>
      <c r="B66">
        <v>112.64932823181152</v>
      </c>
      <c r="C66" s="4" t="s">
        <v>3</v>
      </c>
      <c r="D66" s="4">
        <f t="shared" si="1"/>
        <v>85.83601887226105</v>
      </c>
      <c r="E66" s="4" t="str">
        <f>TEXT(((Query1[[#This Row],[epoch_time]]-4*3600)/86400)+25569,"YYYY-MM-DD HH:MM:SS")</f>
        <v>2023-04-03 13:38:36</v>
      </c>
    </row>
    <row r="67" spans="1:5" x14ac:dyDescent="0.3">
      <c r="A67">
        <v>1680543603</v>
      </c>
      <c r="B67">
        <v>87.254958152770996</v>
      </c>
      <c r="C67" s="4" t="s">
        <v>3</v>
      </c>
      <c r="D67" s="4">
        <f t="shared" si="1"/>
        <v>90.315411186218256</v>
      </c>
      <c r="E67" s="4" t="str">
        <f>TEXT(((Query1[[#This Row],[epoch_time]]-4*3600)/86400)+25569,"YYYY-MM-DD HH:MM:SS")</f>
        <v>2023-04-03 13:40:03</v>
      </c>
    </row>
    <row r="68" spans="1:5" x14ac:dyDescent="0.3">
      <c r="A68">
        <v>1680543649</v>
      </c>
      <c r="B68">
        <v>46.04869818687439</v>
      </c>
      <c r="C68" s="4" t="s">
        <v>3</v>
      </c>
      <c r="D68" s="4">
        <f t="shared" si="1"/>
        <v>88.213242149353022</v>
      </c>
      <c r="E68" s="4" t="str">
        <f>TEXT(((Query1[[#This Row],[epoch_time]]-4*3600)/86400)+25569,"YYYY-MM-DD HH:MM:SS")</f>
        <v>2023-04-03 13:40:49</v>
      </c>
    </row>
    <row r="69" spans="1:5" x14ac:dyDescent="0.3">
      <c r="A69">
        <v>1680543720</v>
      </c>
      <c r="B69">
        <v>71.284972906112671</v>
      </c>
      <c r="C69" s="4" t="s">
        <v>3</v>
      </c>
      <c r="D69" s="4">
        <f t="shared" si="1"/>
        <v>86.294827127456671</v>
      </c>
      <c r="E69" s="4" t="str">
        <f>TEXT(((Query1[[#This Row],[epoch_time]]-4*3600)/86400)+25569,"YYYY-MM-DD HH:MM:SS")</f>
        <v>2023-04-03 13:42:00</v>
      </c>
    </row>
    <row r="70" spans="1:5" x14ac:dyDescent="0.3">
      <c r="A70">
        <v>1680543809</v>
      </c>
      <c r="B70">
        <v>89.271804332733154</v>
      </c>
      <c r="C70" s="4" t="s">
        <v>3</v>
      </c>
      <c r="D70" s="4">
        <f t="shared" si="1"/>
        <v>83.179490900039667</v>
      </c>
      <c r="E70" s="4" t="str">
        <f>TEXT(((Query1[[#This Row],[epoch_time]]-4*3600)/86400)+25569,"YYYY-MM-DD HH:MM:SS")</f>
        <v>2023-04-03 13:43:29</v>
      </c>
    </row>
    <row r="71" spans="1:5" x14ac:dyDescent="0.3">
      <c r="A71">
        <v>1680543890</v>
      </c>
      <c r="B71">
        <v>81.456031084060669</v>
      </c>
      <c r="C71" s="4" t="s">
        <v>3</v>
      </c>
      <c r="D71" s="4">
        <f t="shared" si="1"/>
        <v>77.326929187774653</v>
      </c>
      <c r="E71" s="4" t="str">
        <f>TEXT(((Query1[[#This Row],[epoch_time]]-4*3600)/86400)+25569,"YYYY-MM-DD HH:MM:SS")</f>
        <v>2023-04-03 13:44:50</v>
      </c>
    </row>
    <row r="72" spans="1:5" x14ac:dyDescent="0.3">
      <c r="A72">
        <v>1680543955</v>
      </c>
      <c r="B72">
        <v>64.65061354637146</v>
      </c>
      <c r="C72" s="4" t="s">
        <v>3</v>
      </c>
      <c r="D72" s="4">
        <f t="shared" si="1"/>
        <v>77.614303612709051</v>
      </c>
      <c r="E72" s="4" t="str">
        <f>TEXT(((Query1[[#This Row],[epoch_time]]-4*3600)/86400)+25569,"YYYY-MM-DD HH:MM:SS")</f>
        <v>2023-04-03 13:45:55</v>
      </c>
    </row>
    <row r="73" spans="1:5" x14ac:dyDescent="0.3">
      <c r="A73">
        <v>1680544170</v>
      </c>
      <c r="B73">
        <v>214.97415947914124</v>
      </c>
      <c r="C73" s="4" t="s">
        <v>3</v>
      </c>
      <c r="D73" s="4">
        <f t="shared" si="1"/>
        <v>88.682725358009336</v>
      </c>
      <c r="E73" s="4" t="str">
        <f>TEXT(((Query1[[#This Row],[epoch_time]]-4*3600)/86400)+25569,"YYYY-MM-DD HH:MM:SS")</f>
        <v>2023-04-03 13:49:30</v>
      </c>
    </row>
    <row r="74" spans="1:5" x14ac:dyDescent="0.3">
      <c r="A74">
        <v>1680544221</v>
      </c>
      <c r="B74">
        <v>51.076391696929932</v>
      </c>
      <c r="C74" s="4" t="s">
        <v>3</v>
      </c>
      <c r="D74" s="4">
        <f t="shared" si="1"/>
        <v>89.054543733596802</v>
      </c>
      <c r="E74" s="4" t="str">
        <f>TEXT(((Query1[[#This Row],[epoch_time]]-4*3600)/86400)+25569,"YYYY-MM-DD HH:MM:SS")</f>
        <v>2023-04-03 13:50:21</v>
      </c>
    </row>
    <row r="75" spans="1:5" x14ac:dyDescent="0.3">
      <c r="A75">
        <v>1680544265</v>
      </c>
      <c r="B75">
        <v>44.439793825149536</v>
      </c>
      <c r="C75" s="4" t="s">
        <v>3</v>
      </c>
      <c r="D75" s="4">
        <f t="shared" si="1"/>
        <v>86.310675144195557</v>
      </c>
      <c r="E75" s="4" t="str">
        <f>TEXT(((Query1[[#This Row],[epoch_time]]-4*3600)/86400)+25569,"YYYY-MM-DD HH:MM:SS")</f>
        <v>2023-04-03 13:51:05</v>
      </c>
    </row>
    <row r="76" spans="1:5" x14ac:dyDescent="0.3">
      <c r="A76">
        <v>1680544914</v>
      </c>
      <c r="B76">
        <v>648.78776097297668</v>
      </c>
      <c r="C76" s="4" t="s">
        <v>3</v>
      </c>
      <c r="D76" s="4">
        <f t="shared" si="1"/>
        <v>139.92451841831206</v>
      </c>
      <c r="E76" s="4" t="str">
        <f>TEXT(((Query1[[#This Row],[epoch_time]]-4*3600)/86400)+25569,"YYYY-MM-DD HH:MM:SS")</f>
        <v>2023-04-03 14:01:54</v>
      </c>
    </row>
    <row r="77" spans="1:5" x14ac:dyDescent="0.3">
      <c r="A77">
        <v>1680544957</v>
      </c>
      <c r="B77">
        <v>43.001488447189331</v>
      </c>
      <c r="C77" s="4" t="s">
        <v>3</v>
      </c>
      <c r="D77" s="4">
        <f>AVERAGE(B68:B77)</f>
        <v>135.49917144775389</v>
      </c>
      <c r="E77" s="4" t="str">
        <f>TEXT(((Query1[[#This Row],[epoch_time]]-4*3600)/86400)+25569,"YYYY-MM-DD HH:MM:SS")</f>
        <v>2023-04-03 14:02:37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8</xdr:col>
                    <xdr:colOff>15240</xdr:colOff>
                    <xdr:row>4</xdr:row>
                    <xdr:rowOff>15240</xdr:rowOff>
                  </from>
                  <to>
                    <xdr:col>9</xdr:col>
                    <xdr:colOff>594360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reateGraph">
                <anchor moveWithCells="1" sizeWithCells="1">
                  <from>
                    <xdr:col>8</xdr:col>
                    <xdr:colOff>15240</xdr:colOff>
                    <xdr:row>7</xdr:row>
                    <xdr:rowOff>15240</xdr:rowOff>
                  </from>
                  <to>
                    <xdr:col>10</xdr:col>
                    <xdr:colOff>601980</xdr:colOff>
                    <xdr:row>11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441630-58AF-400B-BD9F-1FA3D857A9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endTime</vt:lpstr>
      <vt:lpstr>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Engelke Rodrigues</dc:creator>
  <cp:lastModifiedBy>Henrique Engelke Rodrigues</cp:lastModifiedBy>
  <dcterms:created xsi:type="dcterms:W3CDTF">2023-04-03T13:10:19Z</dcterms:created>
  <dcterms:modified xsi:type="dcterms:W3CDTF">2023-04-04T11:53:23Z</dcterms:modified>
</cp:coreProperties>
</file>