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nrique.engelke\OneDrive - Martinrea Inc\Documents\GitHub\Scheduler\"/>
    </mc:Choice>
  </mc:AlternateContent>
  <xr:revisionPtr revIDLastSave="0" documentId="13_ncr:1_{62468469-97B1-43AB-BAD8-9FFBDE242616}" xr6:coauthVersionLast="47" xr6:coauthVersionMax="47" xr10:uidLastSave="{00000000-0000-0000-0000-000000000000}"/>
  <bookViews>
    <workbookView xWindow="-108" yWindow="-108" windowWidth="23256" windowHeight="12576" xr2:uid="{BE8BFD2F-171A-4B0B-8C18-9F460D980480}"/>
  </bookViews>
  <sheets>
    <sheet name="Sheet1" sheetId="3" r:id="rId1"/>
  </sheets>
  <definedNames>
    <definedName name="endTime">Sheet1!$H$3</definedName>
    <definedName name="ExternalData_1" localSheetId="0" hidden="1">Sheet1!$A$7:$C$44</definedName>
    <definedName name="startTime">Sheet1!$H$2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3" l="1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8" i="3"/>
  <c r="D9" i="3"/>
  <c r="D10" i="3"/>
  <c r="D11" i="3"/>
  <c r="D12" i="3"/>
  <c r="D13" i="3"/>
  <c r="D14" i="3"/>
  <c r="D15" i="3"/>
  <c r="D16" i="3"/>
  <c r="D17" i="3"/>
  <c r="D18" i="3"/>
  <c r="D19" i="3"/>
  <c r="H3" i="3"/>
  <c r="H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7F7F1A7-8D0D-4547-B245-185DB21E7314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</connections>
</file>

<file path=xl/sharedStrings.xml><?xml version="1.0" encoding="utf-8"?>
<sst xmlns="http://schemas.openxmlformats.org/spreadsheetml/2006/main" count="44" uniqueCount="8">
  <si>
    <t>epoch_time</t>
  </si>
  <si>
    <t>time_diff</t>
  </si>
  <si>
    <t>ip_address</t>
  </si>
  <si>
    <t>10.10.16.132</t>
  </si>
  <si>
    <t>Date (Start)</t>
  </si>
  <si>
    <t>Date (End)</t>
  </si>
  <si>
    <t>Average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</si>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</sst>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22" fontId="0" fillId="3" borderId="0" xfId="0" applyNumberFormat="1" applyFill="1"/>
    <xf numFmtId="0" fontId="1" fillId="0" borderId="1" xfId="0" applyFont="1" applyBorder="1"/>
    <xf numFmtId="0" fontId="0" fillId="0" borderId="0" xfId="0" applyNumberFormat="1"/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4</xdr:row>
          <xdr:rowOff>15240</xdr:rowOff>
        </xdr:from>
        <xdr:to>
          <xdr:col>9</xdr:col>
          <xdr:colOff>594360</xdr:colOff>
          <xdr:row>5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7</xdr:row>
          <xdr:rowOff>15240</xdr:rowOff>
        </xdr:from>
        <xdr:to>
          <xdr:col>10</xdr:col>
          <xdr:colOff>601980</xdr:colOff>
          <xdr:row>11</xdr:row>
          <xdr:rowOff>53340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Graph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E9CF80F-9C84-4F52-8781-FC2A76140415}" autoFormatId="16" applyNumberFormats="0" applyBorderFormats="0" applyFontFormats="0" applyPatternFormats="0" applyAlignmentFormats="0" applyWidthHeightFormats="0">
  <queryTableRefresh nextId="6" unboundColumnsRight="2">
    <queryTableFields count="5">
      <queryTableField id="1" name="epoch_time" tableColumnId="1"/>
      <queryTableField id="2" name="time_diff" tableColumnId="2"/>
      <queryTableField id="3" name="ip_address" tableColumnId="3"/>
      <queryTableField id="4" dataBound="0" tableColumnId="4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F629771-8940-4FDE-994C-EF5EF86FE126}" name="Query1" displayName="Query1" ref="A7:E44" tableType="queryTable" totalsRowShown="0">
  <autoFilter ref="A7:E44" xr:uid="{0F629771-8940-4FDE-994C-EF5EF86FE126}"/>
  <tableColumns count="5">
    <tableColumn id="1" xr3:uid="{E37973AA-E602-48E0-BD9D-DB791E03AEE0}" uniqueName="1" name="epoch_time" queryTableFieldId="1"/>
    <tableColumn id="2" xr3:uid="{C068E58D-A0B6-4DAE-BFB6-AD9E89E34CB0}" uniqueName="2" name="time_diff" queryTableFieldId="2"/>
    <tableColumn id="3" xr3:uid="{8DE4DB37-F896-49F7-B196-B199CD69C4A0}" uniqueName="3" name="ip_address" queryTableFieldId="3" dataDxfId="2"/>
    <tableColumn id="4" xr3:uid="{636D7EDE-9040-4B47-B8C4-E5D7D976FD78}" uniqueName="4" name="Average" queryTableFieldId="4" dataDxfId="1"/>
    <tableColumn id="5" xr3:uid="{3F7D9EC4-7806-4473-A047-73AE83A222EF}" uniqueName="5" name="Date" queryTableFieldId="5" dataDxfId="0">
      <calculatedColumnFormula>TEXT(((Query1[[#This Row],[epoch_time]]-4*3600)/86400)+25569,"YYYY-MM-DD HH:MM:SS")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F2D1E-0FE7-4F94-A465-76407FBDA113}">
  <sheetPr codeName="Sheet3"/>
  <dimension ref="A2:H44"/>
  <sheetViews>
    <sheetView tabSelected="1" workbookViewId="0">
      <selection activeCell="E3" sqref="E3"/>
    </sheetView>
  </sheetViews>
  <sheetFormatPr defaultRowHeight="14.4" x14ac:dyDescent="0.3"/>
  <cols>
    <col min="1" max="1" width="13.21875" bestFit="1" customWidth="1"/>
    <col min="2" max="2" width="12" bestFit="1" customWidth="1"/>
    <col min="3" max="3" width="12.21875" bestFit="1" customWidth="1"/>
    <col min="4" max="4" width="12" bestFit="1" customWidth="1"/>
    <col min="5" max="5" width="18.109375" bestFit="1" customWidth="1"/>
    <col min="8" max="8" width="15.44140625" bestFit="1" customWidth="1"/>
  </cols>
  <sheetData>
    <row r="2" spans="1:8" x14ac:dyDescent="0.3">
      <c r="D2" s="1" t="s">
        <v>4</v>
      </c>
      <c r="E2" s="2">
        <v>45019.541666666664</v>
      </c>
      <c r="H2" s="3">
        <f>(E2-DATE(1970,1,1))*86400+4*3600</f>
        <v>1680541199.9999998</v>
      </c>
    </row>
    <row r="3" spans="1:8" x14ac:dyDescent="0.3">
      <c r="D3" s="1" t="s">
        <v>5</v>
      </c>
      <c r="E3" s="2">
        <v>45019.583333333336</v>
      </c>
      <c r="H3" s="3">
        <f>(E3-DATE(1970,1,1))*86400+4*3600</f>
        <v>1680544800.0000002</v>
      </c>
    </row>
    <row r="7" spans="1:8" x14ac:dyDescent="0.3">
      <c r="A7" t="s">
        <v>0</v>
      </c>
      <c r="B7" t="s">
        <v>1</v>
      </c>
      <c r="C7" t="s">
        <v>2</v>
      </c>
      <c r="D7" t="s">
        <v>6</v>
      </c>
      <c r="E7" t="s">
        <v>7</v>
      </c>
    </row>
    <row r="8" spans="1:8" x14ac:dyDescent="0.3">
      <c r="A8">
        <v>1680541244</v>
      </c>
      <c r="B8">
        <v>49.955534219741821</v>
      </c>
      <c r="C8" s="4" t="s">
        <v>3</v>
      </c>
      <c r="D8" s="4" t="e">
        <f>AVERAGE(#REF!)</f>
        <v>#REF!</v>
      </c>
      <c r="E8" s="4" t="str">
        <f>TEXT(((Query1[[#This Row],[epoch_time]]-4*3600)/86400)+25569,"YYYY-MM-DD HH:MM:SS")</f>
        <v>2023-04-03 13:00:44</v>
      </c>
    </row>
    <row r="9" spans="1:8" x14ac:dyDescent="0.3">
      <c r="A9">
        <v>1680541296</v>
      </c>
      <c r="B9">
        <v>52.053804874420166</v>
      </c>
      <c r="C9" s="4" t="s">
        <v>3</v>
      </c>
      <c r="D9" s="4" t="e">
        <f>AVERAGE(#REF!)</f>
        <v>#REF!</v>
      </c>
      <c r="E9" s="4" t="str">
        <f>TEXT(((Query1[[#This Row],[epoch_time]]-4*3600)/86400)+25569,"YYYY-MM-DD HH:MM:SS")</f>
        <v>2023-04-03 13:01:36</v>
      </c>
    </row>
    <row r="10" spans="1:8" x14ac:dyDescent="0.3">
      <c r="A10">
        <v>1680541433</v>
      </c>
      <c r="B10">
        <v>137.2660813331604</v>
      </c>
      <c r="C10" s="4" t="s">
        <v>3</v>
      </c>
      <c r="D10" s="4">
        <f t="shared" ref="D10:D18" si="0">AVERAGE(B1:B10)</f>
        <v>79.758473475774124</v>
      </c>
      <c r="E10" s="4" t="str">
        <f>TEXT(((Query1[[#This Row],[epoch_time]]-4*3600)/86400)+25569,"YYYY-MM-DD HH:MM:SS")</f>
        <v>2023-04-03 13:03:53</v>
      </c>
    </row>
    <row r="11" spans="1:8" x14ac:dyDescent="0.3">
      <c r="A11">
        <v>1680541551</v>
      </c>
      <c r="B11">
        <v>118.08718132972716</v>
      </c>
      <c r="C11" s="4" t="s">
        <v>3</v>
      </c>
      <c r="D11" s="4">
        <f t="shared" si="0"/>
        <v>89.34065043926239</v>
      </c>
      <c r="E11" s="4" t="str">
        <f>TEXT(((Query1[[#This Row],[epoch_time]]-4*3600)/86400)+25569,"YYYY-MM-DD HH:MM:SS")</f>
        <v>2023-04-03 13:05:51</v>
      </c>
    </row>
    <row r="12" spans="1:8" x14ac:dyDescent="0.3">
      <c r="A12">
        <v>1680541840</v>
      </c>
      <c r="B12">
        <v>288.56009960174561</v>
      </c>
      <c r="C12" s="4" t="s">
        <v>3</v>
      </c>
      <c r="D12" s="4">
        <f t="shared" si="0"/>
        <v>129.18454027175903</v>
      </c>
      <c r="E12" s="4" t="str">
        <f>TEXT(((Query1[[#This Row],[epoch_time]]-4*3600)/86400)+25569,"YYYY-MM-DD HH:MM:SS")</f>
        <v>2023-04-03 13:10:40</v>
      </c>
    </row>
    <row r="13" spans="1:8" x14ac:dyDescent="0.3">
      <c r="A13">
        <v>1680541876</v>
      </c>
      <c r="B13">
        <v>36.027114391326904</v>
      </c>
      <c r="C13" s="4" t="s">
        <v>3</v>
      </c>
      <c r="D13" s="4">
        <f t="shared" si="0"/>
        <v>113.65830262502034</v>
      </c>
      <c r="E13" s="4" t="str">
        <f>TEXT(((Query1[[#This Row],[epoch_time]]-4*3600)/86400)+25569,"YYYY-MM-DD HH:MM:SS")</f>
        <v>2023-04-03 13:11:16</v>
      </c>
    </row>
    <row r="14" spans="1:8" x14ac:dyDescent="0.3">
      <c r="A14">
        <v>1680541950</v>
      </c>
      <c r="B14">
        <v>74.056686639785767</v>
      </c>
      <c r="C14" s="4" t="s">
        <v>3</v>
      </c>
      <c r="D14" s="4">
        <f t="shared" si="0"/>
        <v>108.00092891284397</v>
      </c>
      <c r="E14" s="4" t="str">
        <f>TEXT(((Query1[[#This Row],[epoch_time]]-4*3600)/86400)+25569,"YYYY-MM-DD HH:MM:SS")</f>
        <v>2023-04-03 13:12:30</v>
      </c>
    </row>
    <row r="15" spans="1:8" x14ac:dyDescent="0.3">
      <c r="A15">
        <v>1680542000</v>
      </c>
      <c r="B15">
        <v>50.010796785354614</v>
      </c>
      <c r="C15" s="4" t="s">
        <v>3</v>
      </c>
      <c r="D15" s="4">
        <f t="shared" si="0"/>
        <v>100.75216239690781</v>
      </c>
      <c r="E15" s="4" t="str">
        <f>TEXT(((Query1[[#This Row],[epoch_time]]-4*3600)/86400)+25569,"YYYY-MM-DD HH:MM:SS")</f>
        <v>2023-04-03 13:13:20</v>
      </c>
    </row>
    <row r="16" spans="1:8" x14ac:dyDescent="0.3">
      <c r="A16">
        <v>1680542094</v>
      </c>
      <c r="B16">
        <v>94.224323272705078</v>
      </c>
      <c r="C16" s="4" t="s">
        <v>3</v>
      </c>
      <c r="D16" s="4">
        <f t="shared" si="0"/>
        <v>100.02684693866306</v>
      </c>
      <c r="E16" s="4" t="str">
        <f>TEXT(((Query1[[#This Row],[epoch_time]]-4*3600)/86400)+25569,"YYYY-MM-DD HH:MM:SS")</f>
        <v>2023-04-03 13:14:54</v>
      </c>
    </row>
    <row r="17" spans="1:5" x14ac:dyDescent="0.3">
      <c r="A17">
        <v>1680542143</v>
      </c>
      <c r="B17">
        <v>48.632864713668823</v>
      </c>
      <c r="C17" s="4" t="s">
        <v>3</v>
      </c>
      <c r="D17" s="4">
        <f t="shared" si="0"/>
        <v>94.887448716163632</v>
      </c>
      <c r="E17" s="4" t="str">
        <f>TEXT(((Query1[[#This Row],[epoch_time]]-4*3600)/86400)+25569,"YYYY-MM-DD HH:MM:SS")</f>
        <v>2023-04-03 13:15:43</v>
      </c>
    </row>
    <row r="18" spans="1:5" x14ac:dyDescent="0.3">
      <c r="A18">
        <v>1680542194</v>
      </c>
      <c r="B18">
        <v>51.38848614692688</v>
      </c>
      <c r="C18" s="4" t="s">
        <v>3</v>
      </c>
      <c r="D18" s="4">
        <f t="shared" si="0"/>
        <v>95.030743908882144</v>
      </c>
      <c r="E18" s="4" t="str">
        <f>TEXT(((Query1[[#This Row],[epoch_time]]-4*3600)/86400)+25569,"YYYY-MM-DD HH:MM:SS")</f>
        <v>2023-04-03 13:16:34</v>
      </c>
    </row>
    <row r="19" spans="1:5" x14ac:dyDescent="0.3">
      <c r="A19">
        <v>1680542294</v>
      </c>
      <c r="B19">
        <v>100.00422048568726</v>
      </c>
      <c r="C19" s="4" t="s">
        <v>3</v>
      </c>
      <c r="D19" s="4">
        <f>AVERAGE(B10:B19)</f>
        <v>99.825785470008853</v>
      </c>
      <c r="E19" s="4" t="str">
        <f>TEXT(((Query1[[#This Row],[epoch_time]]-4*3600)/86400)+25569,"YYYY-MM-DD HH:MM:SS")</f>
        <v>2023-04-03 13:18:14</v>
      </c>
    </row>
    <row r="20" spans="1:5" x14ac:dyDescent="0.3">
      <c r="A20">
        <v>1680542374</v>
      </c>
      <c r="B20">
        <v>80.282010793685913</v>
      </c>
      <c r="C20" s="4" t="s">
        <v>3</v>
      </c>
      <c r="D20" s="4">
        <f t="shared" ref="D20:D43" si="1">AVERAGE(B11:B20)</f>
        <v>94.127378416061404</v>
      </c>
      <c r="E20" s="4" t="str">
        <f>TEXT(((Query1[[#This Row],[epoch_time]]-4*3600)/86400)+25569,"YYYY-MM-DD HH:MM:SS")</f>
        <v>2023-04-03 13:19:34</v>
      </c>
    </row>
    <row r="21" spans="1:5" x14ac:dyDescent="0.3">
      <c r="A21">
        <v>1680542418</v>
      </c>
      <c r="B21">
        <v>43.871922254562378</v>
      </c>
      <c r="C21" s="4" t="s">
        <v>3</v>
      </c>
      <c r="D21" s="4">
        <f t="shared" si="1"/>
        <v>86.705852508544922</v>
      </c>
      <c r="E21" s="4" t="str">
        <f>TEXT(((Query1[[#This Row],[epoch_time]]-4*3600)/86400)+25569,"YYYY-MM-DD HH:MM:SS")</f>
        <v>2023-04-03 13:20:18</v>
      </c>
    </row>
    <row r="22" spans="1:5" x14ac:dyDescent="0.3">
      <c r="A22">
        <v>1680542465</v>
      </c>
      <c r="B22">
        <v>46.621916770935059</v>
      </c>
      <c r="C22" s="4" t="s">
        <v>3</v>
      </c>
      <c r="D22" s="4">
        <f t="shared" si="1"/>
        <v>62.512034225463864</v>
      </c>
      <c r="E22" s="4" t="str">
        <f>TEXT(((Query1[[#This Row],[epoch_time]]-4*3600)/86400)+25569,"YYYY-MM-DD HH:MM:SS")</f>
        <v>2023-04-03 13:21:05</v>
      </c>
    </row>
    <row r="23" spans="1:5" x14ac:dyDescent="0.3">
      <c r="A23">
        <v>1680542518</v>
      </c>
      <c r="B23">
        <v>52.654424428939819</v>
      </c>
      <c r="C23" s="4" t="s">
        <v>3</v>
      </c>
      <c r="D23" s="4">
        <f t="shared" si="1"/>
        <v>64.174765229225159</v>
      </c>
      <c r="E23" s="4" t="str">
        <f>TEXT(((Query1[[#This Row],[epoch_time]]-4*3600)/86400)+25569,"YYYY-MM-DD HH:MM:SS")</f>
        <v>2023-04-03 13:21:58</v>
      </c>
    </row>
    <row r="24" spans="1:5" x14ac:dyDescent="0.3">
      <c r="A24">
        <v>1680542579</v>
      </c>
      <c r="B24">
        <v>60.672755241394043</v>
      </c>
      <c r="C24" s="4" t="s">
        <v>3</v>
      </c>
      <c r="D24" s="4">
        <f t="shared" si="1"/>
        <v>62.836372089385989</v>
      </c>
      <c r="E24" s="4" t="str">
        <f>TEXT(((Query1[[#This Row],[epoch_time]]-4*3600)/86400)+25569,"YYYY-MM-DD HH:MM:SS")</f>
        <v>2023-04-03 13:22:59</v>
      </c>
    </row>
    <row r="25" spans="1:5" x14ac:dyDescent="0.3">
      <c r="A25">
        <v>1680542659</v>
      </c>
      <c r="B25">
        <v>79.712518692016602</v>
      </c>
      <c r="C25" s="4" t="s">
        <v>3</v>
      </c>
      <c r="D25" s="4">
        <f t="shared" si="1"/>
        <v>65.806544280052179</v>
      </c>
      <c r="E25" s="4" t="str">
        <f>TEXT(((Query1[[#This Row],[epoch_time]]-4*3600)/86400)+25569,"YYYY-MM-DD HH:MM:SS")</f>
        <v>2023-04-03 13:24:19</v>
      </c>
    </row>
    <row r="26" spans="1:5" x14ac:dyDescent="0.3">
      <c r="A26">
        <v>1680542701</v>
      </c>
      <c r="B26">
        <v>42.461035013198853</v>
      </c>
      <c r="C26" s="4" t="s">
        <v>3</v>
      </c>
      <c r="D26" s="4">
        <f t="shared" si="1"/>
        <v>60.63021545410156</v>
      </c>
      <c r="E26" s="4" t="str">
        <f>TEXT(((Query1[[#This Row],[epoch_time]]-4*3600)/86400)+25569,"YYYY-MM-DD HH:MM:SS")</f>
        <v>2023-04-03 13:25:01</v>
      </c>
    </row>
    <row r="27" spans="1:5" x14ac:dyDescent="0.3">
      <c r="A27">
        <v>1680542768</v>
      </c>
      <c r="B27">
        <v>67.070388555526733</v>
      </c>
      <c r="C27" s="4" t="s">
        <v>3</v>
      </c>
      <c r="D27" s="4">
        <f t="shared" si="1"/>
        <v>62.473967838287351</v>
      </c>
      <c r="E27" s="4" t="str">
        <f>TEXT(((Query1[[#This Row],[epoch_time]]-4*3600)/86400)+25569,"YYYY-MM-DD HH:MM:SS")</f>
        <v>2023-04-03 13:26:08</v>
      </c>
    </row>
    <row r="28" spans="1:5" x14ac:dyDescent="0.3">
      <c r="A28">
        <v>1680542858</v>
      </c>
      <c r="B28">
        <v>90.469123125076294</v>
      </c>
      <c r="C28" s="4" t="s">
        <v>3</v>
      </c>
      <c r="D28" s="4">
        <f t="shared" si="1"/>
        <v>66.382031536102289</v>
      </c>
      <c r="E28" s="4" t="str">
        <f>TEXT(((Query1[[#This Row],[epoch_time]]-4*3600)/86400)+25569,"YYYY-MM-DD HH:MM:SS")</f>
        <v>2023-04-03 13:27:38</v>
      </c>
    </row>
    <row r="29" spans="1:5" x14ac:dyDescent="0.3">
      <c r="A29">
        <v>1680542978</v>
      </c>
      <c r="B29">
        <v>120.42516660690308</v>
      </c>
      <c r="C29" s="4" t="s">
        <v>3</v>
      </c>
      <c r="D29" s="4">
        <f t="shared" si="1"/>
        <v>68.424126148223877</v>
      </c>
      <c r="E29" s="4" t="str">
        <f>TEXT(((Query1[[#This Row],[epoch_time]]-4*3600)/86400)+25569,"YYYY-MM-DD HH:MM:SS")</f>
        <v>2023-04-03 13:29:38</v>
      </c>
    </row>
    <row r="30" spans="1:5" x14ac:dyDescent="0.3">
      <c r="A30">
        <v>1680543118</v>
      </c>
      <c r="B30">
        <v>139.98164820671082</v>
      </c>
      <c r="C30" s="4" t="s">
        <v>3</v>
      </c>
      <c r="D30" s="4">
        <f t="shared" si="1"/>
        <v>74.39408988952637</v>
      </c>
      <c r="E30" s="4" t="str">
        <f>TEXT(((Query1[[#This Row],[epoch_time]]-4*3600)/86400)+25569,"YYYY-MM-DD HH:MM:SS")</f>
        <v>2023-04-03 13:31:58</v>
      </c>
    </row>
    <row r="31" spans="1:5" x14ac:dyDescent="0.3">
      <c r="A31">
        <v>1680543180</v>
      </c>
      <c r="B31">
        <v>61.776869297027588</v>
      </c>
      <c r="C31" s="4" t="s">
        <v>3</v>
      </c>
      <c r="D31" s="4">
        <f t="shared" si="1"/>
        <v>76.184584593772882</v>
      </c>
      <c r="E31" s="4" t="str">
        <f>TEXT(((Query1[[#This Row],[epoch_time]]-4*3600)/86400)+25569,"YYYY-MM-DD HH:MM:SS")</f>
        <v>2023-04-03 13:33:00</v>
      </c>
    </row>
    <row r="32" spans="1:5" x14ac:dyDescent="0.3">
      <c r="A32">
        <v>1680543284</v>
      </c>
      <c r="B32">
        <v>104.28994202613831</v>
      </c>
      <c r="C32" s="4" t="s">
        <v>3</v>
      </c>
      <c r="D32" s="4">
        <f t="shared" si="1"/>
        <v>81.951387119293216</v>
      </c>
      <c r="E32" s="4" t="str">
        <f>TEXT(((Query1[[#This Row],[epoch_time]]-4*3600)/86400)+25569,"YYYY-MM-DD HH:MM:SS")</f>
        <v>2023-04-03 13:34:44</v>
      </c>
    </row>
    <row r="33" spans="1:5" x14ac:dyDescent="0.3">
      <c r="A33">
        <v>1680543331</v>
      </c>
      <c r="B33">
        <v>47.358207941055298</v>
      </c>
      <c r="C33" s="4" t="s">
        <v>3</v>
      </c>
      <c r="D33" s="4">
        <f t="shared" si="1"/>
        <v>81.421765470504766</v>
      </c>
      <c r="E33" s="4" t="str">
        <f>TEXT(((Query1[[#This Row],[epoch_time]]-4*3600)/86400)+25569,"YYYY-MM-DD HH:MM:SS")</f>
        <v>2023-04-03 13:35:31</v>
      </c>
    </row>
    <row r="34" spans="1:5" x14ac:dyDescent="0.3">
      <c r="A34">
        <v>1680543403</v>
      </c>
      <c r="B34">
        <v>71.878479719161987</v>
      </c>
      <c r="C34" s="4" t="s">
        <v>3</v>
      </c>
      <c r="D34" s="4">
        <f t="shared" si="1"/>
        <v>82.542337918281561</v>
      </c>
      <c r="E34" s="4" t="str">
        <f>TEXT(((Query1[[#This Row],[epoch_time]]-4*3600)/86400)+25569,"YYYY-MM-DD HH:MM:SS")</f>
        <v>2023-04-03 13:36:43</v>
      </c>
    </row>
    <row r="35" spans="1:5" x14ac:dyDescent="0.3">
      <c r="A35">
        <v>1680543516</v>
      </c>
      <c r="B35">
        <v>112.64932823181152</v>
      </c>
      <c r="C35" s="4" t="s">
        <v>3</v>
      </c>
      <c r="D35" s="4">
        <f t="shared" si="1"/>
        <v>85.83601887226105</v>
      </c>
      <c r="E35" s="4" t="str">
        <f>TEXT(((Query1[[#This Row],[epoch_time]]-4*3600)/86400)+25569,"YYYY-MM-DD HH:MM:SS")</f>
        <v>2023-04-03 13:38:36</v>
      </c>
    </row>
    <row r="36" spans="1:5" x14ac:dyDescent="0.3">
      <c r="A36">
        <v>1680543603</v>
      </c>
      <c r="B36">
        <v>87.254958152770996</v>
      </c>
      <c r="C36" s="4" t="s">
        <v>3</v>
      </c>
      <c r="D36" s="4">
        <f t="shared" si="1"/>
        <v>90.315411186218256</v>
      </c>
      <c r="E36" s="4" t="str">
        <f>TEXT(((Query1[[#This Row],[epoch_time]]-4*3600)/86400)+25569,"YYYY-MM-DD HH:MM:SS")</f>
        <v>2023-04-03 13:40:03</v>
      </c>
    </row>
    <row r="37" spans="1:5" x14ac:dyDescent="0.3">
      <c r="A37">
        <v>1680543649</v>
      </c>
      <c r="B37">
        <v>46.04869818687439</v>
      </c>
      <c r="C37" s="4" t="s">
        <v>3</v>
      </c>
      <c r="D37" s="4">
        <f t="shared" si="1"/>
        <v>88.213242149353022</v>
      </c>
      <c r="E37" s="4" t="str">
        <f>TEXT(((Query1[[#This Row],[epoch_time]]-4*3600)/86400)+25569,"YYYY-MM-DD HH:MM:SS")</f>
        <v>2023-04-03 13:40:49</v>
      </c>
    </row>
    <row r="38" spans="1:5" x14ac:dyDescent="0.3">
      <c r="A38">
        <v>1680543720</v>
      </c>
      <c r="B38">
        <v>71.284972906112671</v>
      </c>
      <c r="C38" s="4" t="s">
        <v>3</v>
      </c>
      <c r="D38" s="4">
        <f t="shared" si="1"/>
        <v>86.294827127456671</v>
      </c>
      <c r="E38" s="4" t="str">
        <f>TEXT(((Query1[[#This Row],[epoch_time]]-4*3600)/86400)+25569,"YYYY-MM-DD HH:MM:SS")</f>
        <v>2023-04-03 13:42:00</v>
      </c>
    </row>
    <row r="39" spans="1:5" x14ac:dyDescent="0.3">
      <c r="A39">
        <v>1680543809</v>
      </c>
      <c r="B39">
        <v>89.271804332733154</v>
      </c>
      <c r="C39" s="4" t="s">
        <v>3</v>
      </c>
      <c r="D39" s="4">
        <f t="shared" si="1"/>
        <v>83.179490900039667</v>
      </c>
      <c r="E39" s="4" t="str">
        <f>TEXT(((Query1[[#This Row],[epoch_time]]-4*3600)/86400)+25569,"YYYY-MM-DD HH:MM:SS")</f>
        <v>2023-04-03 13:43:29</v>
      </c>
    </row>
    <row r="40" spans="1:5" x14ac:dyDescent="0.3">
      <c r="A40">
        <v>1680543890</v>
      </c>
      <c r="B40">
        <v>81.456031084060669</v>
      </c>
      <c r="C40" s="4" t="s">
        <v>3</v>
      </c>
      <c r="D40" s="4">
        <f t="shared" si="1"/>
        <v>77.326929187774653</v>
      </c>
      <c r="E40" s="4" t="str">
        <f>TEXT(((Query1[[#This Row],[epoch_time]]-4*3600)/86400)+25569,"YYYY-MM-DD HH:MM:SS")</f>
        <v>2023-04-03 13:44:50</v>
      </c>
    </row>
    <row r="41" spans="1:5" x14ac:dyDescent="0.3">
      <c r="A41">
        <v>1680543955</v>
      </c>
      <c r="B41">
        <v>64.65061354637146</v>
      </c>
      <c r="C41" s="4" t="s">
        <v>3</v>
      </c>
      <c r="D41" s="4">
        <f t="shared" si="1"/>
        <v>77.614303612709051</v>
      </c>
      <c r="E41" s="4" t="str">
        <f>TEXT(((Query1[[#This Row],[epoch_time]]-4*3600)/86400)+25569,"YYYY-MM-DD HH:MM:SS")</f>
        <v>2023-04-03 13:45:55</v>
      </c>
    </row>
    <row r="42" spans="1:5" x14ac:dyDescent="0.3">
      <c r="A42">
        <v>1680544170</v>
      </c>
      <c r="B42">
        <v>214.97415947914124</v>
      </c>
      <c r="C42" s="4" t="s">
        <v>3</v>
      </c>
      <c r="D42" s="4">
        <f t="shared" si="1"/>
        <v>88.682725358009336</v>
      </c>
      <c r="E42" s="4" t="str">
        <f>TEXT(((Query1[[#This Row],[epoch_time]]-4*3600)/86400)+25569,"YYYY-MM-DD HH:MM:SS")</f>
        <v>2023-04-03 13:49:30</v>
      </c>
    </row>
    <row r="43" spans="1:5" x14ac:dyDescent="0.3">
      <c r="A43">
        <v>1680544221</v>
      </c>
      <c r="B43">
        <v>51.076391696929932</v>
      </c>
      <c r="C43" s="4" t="s">
        <v>3</v>
      </c>
      <c r="D43" s="4">
        <f t="shared" si="1"/>
        <v>89.054543733596802</v>
      </c>
      <c r="E43" s="4" t="str">
        <f>TEXT(((Query1[[#This Row],[epoch_time]]-4*3600)/86400)+25569,"YYYY-MM-DD HH:MM:SS")</f>
        <v>2023-04-03 13:50:21</v>
      </c>
    </row>
    <row r="44" spans="1:5" x14ac:dyDescent="0.3">
      <c r="A44">
        <v>1680544265</v>
      </c>
      <c r="B44">
        <v>44.439793825149536</v>
      </c>
      <c r="C44" s="4" t="s">
        <v>3</v>
      </c>
      <c r="D44" s="4">
        <f>AVERAGE(B44:B44)</f>
        <v>44.439793825149536</v>
      </c>
      <c r="E44" s="4" t="str">
        <f>TEXT(((Query1[[#This Row],[epoch_time]]-4*3600)/86400)+25569,"YYYY-MM-DD HH:MM:SS")</f>
        <v>2023-04-03 13:51:05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8</xdr:col>
                    <xdr:colOff>15240</xdr:colOff>
                    <xdr:row>4</xdr:row>
                    <xdr:rowOff>15240</xdr:rowOff>
                  </from>
                  <to>
                    <xdr:col>9</xdr:col>
                    <xdr:colOff>594360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reateGraph">
                <anchor moveWithCells="1" sizeWithCells="1">
                  <from>
                    <xdr:col>8</xdr:col>
                    <xdr:colOff>15240</xdr:colOff>
                    <xdr:row>7</xdr:row>
                    <xdr:rowOff>15240</xdr:rowOff>
                  </from>
                  <to>
                    <xdr:col>10</xdr:col>
                    <xdr:colOff>601980</xdr:colOff>
                    <xdr:row>11</xdr:row>
                    <xdr:rowOff>53340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441630-58AF-400B-BD9F-1FA3D857A9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endTime</vt:lpstr>
      <vt:lpstr>startTime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Engelke Rodrigues</dc:creator>
  <cp:lastModifiedBy>Henrique Engelke Rodrigues</cp:lastModifiedBy>
  <dcterms:created xsi:type="dcterms:W3CDTF">2023-04-03T13:10:19Z</dcterms:created>
  <dcterms:modified xsi:type="dcterms:W3CDTF">2023-04-25T13:15:16Z</dcterms:modified>
</cp:coreProperties>
</file>