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.engelke\OneDrive - Martinrea Inc\Documents\GitHub\Scheduler\"/>
    </mc:Choice>
  </mc:AlternateContent>
  <xr:revisionPtr revIDLastSave="0" documentId="13_ncr:1_{CCD6FD77-D35F-42A0-82B1-9CD6EBCE4BFF}" xr6:coauthVersionLast="47" xr6:coauthVersionMax="47" xr10:uidLastSave="{00000000-0000-0000-0000-000000000000}"/>
  <bookViews>
    <workbookView xWindow="-108" yWindow="-108" windowWidth="23256" windowHeight="12576" xr2:uid="{E8618005-B47F-4056-A175-015176345F12}"/>
  </bookViews>
  <sheets>
    <sheet name="Sheet1" sheetId="1" r:id="rId1"/>
  </sheets>
  <definedNames>
    <definedName name="end">Sheet1!#REF!</definedName>
    <definedName name="endTime">Sheet1!$H$4</definedName>
    <definedName name="ExternalData_1" localSheetId="0" hidden="1">Sheet1!$A$6:$C$102</definedName>
    <definedName name="start">Sheet1!#REF!</definedName>
    <definedName name="startTime">Sheet1!$H$3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H4" i="1"/>
  <c r="H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8C8B8C-5499-48D5-9413-92DC580F6E69}" keepAlive="1" name="Connection" type="5" refreshedVersion="0" background="1">
    <dbPr connection="Provider=Microsoft.Mashup.OleDb.1;Data Source=$Workbook$;Location=Query1;Extended Properties=&quot;&quot;" commandType="0"/>
  </connection>
  <connection id="2" xr16:uid="{40B337F3-6487-42FF-8B4D-36E42DFE765A}" keepAlive="1" name="Connection1" type="5" refreshedVersion="0" background="1">
    <dbPr connection="Provider=Microsoft.Mashup.OleDb.1;Data Source=$Workbook$;Location=Query1;Extended Properties=&quot;&quot;" commandType="0"/>
  </connection>
  <connection id="3" xr16:uid="{327B5168-2F1B-4D7A-A8D3-929D83EE5A03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<sst xmlns="http://schemas.openxmlformats.org/spreadsheetml/2006/main" count="104" uniqueCount="9">
  <si>
    <t>epoch_time</t>
  </si>
  <si>
    <t>time_diff</t>
  </si>
  <si>
    <t>ip_address</t>
  </si>
  <si>
    <t>10.10.16.132</t>
  </si>
  <si>
    <t>Average</t>
  </si>
  <si>
    <t>Date</t>
  </si>
  <si>
    <t>Date (End)</t>
  </si>
  <si>
    <t>Date (Start)</t>
  </si>
  <si>
    <t>x`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</si>
</sst>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2" borderId="0" xfId="0" applyNumberFormat="1" applyFill="1"/>
    <xf numFmtId="0" fontId="0" fillId="3" borderId="0" xfId="0" applyFill="1"/>
    <xf numFmtId="0" fontId="2" fillId="0" borderId="1" xfId="0" applyFont="1" applyBorder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15240</xdr:rowOff>
        </xdr:from>
        <xdr:to>
          <xdr:col>8</xdr:col>
          <xdr:colOff>586740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8</xdr:row>
          <xdr:rowOff>0</xdr:rowOff>
        </xdr:from>
        <xdr:to>
          <xdr:col>10</xdr:col>
          <xdr:colOff>7620</xdr:colOff>
          <xdr:row>11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Analysis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23E9A9C-AD26-4A08-A30B-3BC245C1D37A}" autoFormatId="16" applyNumberFormats="0" applyBorderFormats="0" applyFontFormats="0" applyPatternFormats="0" applyAlignmentFormats="0" applyWidthHeightFormats="0">
  <queryTableRefresh nextId="8" unboundColumnsRight="2">
    <queryTableFields count="5">
      <queryTableField id="1" name="epoch_time" tableColumnId="1"/>
      <queryTableField id="2" name="time_diff" tableColumnId="2"/>
      <queryTableField id="3" name="ip_address" tableColumnId="3"/>
      <queryTableField id="4" dataBound="0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7B0A8E-FEC5-4BEA-82BE-B639242AAB3F}" name="Query1" displayName="Query1" ref="A6:E102" tableType="queryTable" totalsRowShown="0">
  <autoFilter ref="A6:E102" xr:uid="{5C7B0A8E-FEC5-4BEA-82BE-B639242AAB3F}"/>
  <tableColumns count="5">
    <tableColumn id="1" xr3:uid="{24F0EAEC-2725-4461-88F1-FC280B98979C}" uniqueName="1" name="epoch_time" queryTableFieldId="1"/>
    <tableColumn id="2" xr3:uid="{3F6B14B1-25F2-4A4A-9975-3BC35D839C87}" uniqueName="2" name="time_diff" queryTableFieldId="2"/>
    <tableColumn id="3" xr3:uid="{E805E15D-17D7-42C3-9B6B-ECD514777150}" uniqueName="3" name="ip_address" queryTableFieldId="3"/>
    <tableColumn id="4" xr3:uid="{A7488D15-745D-45C4-B5F7-2204A00852D4}" uniqueName="4" name="Average" queryTableFieldId="4" dataDxfId="0">
      <calculatedColumnFormula>AVERAGE($B$7:B7)</calculatedColumnFormula>
    </tableColumn>
    <tableColumn id="5" xr3:uid="{242C4A66-5DD3-40C5-8327-301ED917D913}" uniqueName="5" name="Date" queryTableFieldId="5">
      <calculatedColumnFormula>TEXT(((Query1[[#This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1F5-AE95-40D2-898B-71501657783E}">
  <sheetPr codeName="Sheet1"/>
  <dimension ref="A2:S102"/>
  <sheetViews>
    <sheetView tabSelected="1" workbookViewId="0">
      <selection activeCell="F20" sqref="F20"/>
    </sheetView>
  </sheetViews>
  <sheetFormatPr defaultRowHeight="14.4" x14ac:dyDescent="0.3"/>
  <cols>
    <col min="1" max="1" width="13.21875" bestFit="1" customWidth="1"/>
    <col min="2" max="2" width="12" bestFit="1" customWidth="1"/>
    <col min="3" max="3" width="12.21875" bestFit="1" customWidth="1"/>
    <col min="4" max="4" width="12" bestFit="1" customWidth="1"/>
    <col min="5" max="5" width="18.109375" bestFit="1" customWidth="1"/>
    <col min="6" max="6" width="15.44140625" bestFit="1" customWidth="1"/>
    <col min="8" max="8" width="11.6640625" bestFit="1" customWidth="1"/>
    <col min="11" max="11" width="12.88671875" customWidth="1"/>
  </cols>
  <sheetData>
    <row r="2" spans="1:19" x14ac:dyDescent="0.3">
      <c r="S2" t="s">
        <v>8</v>
      </c>
    </row>
    <row r="3" spans="1:19" x14ac:dyDescent="0.3">
      <c r="E3" s="2" t="s">
        <v>7</v>
      </c>
      <c r="F3" s="1">
        <v>45005.984027777777</v>
      </c>
      <c r="H3" s="3">
        <f>(F3-DATE(1970,1,1))*86400+4*3600</f>
        <v>1679369820</v>
      </c>
    </row>
    <row r="4" spans="1:19" x14ac:dyDescent="0.3">
      <c r="E4" s="2" t="s">
        <v>6</v>
      </c>
      <c r="F4" s="1">
        <v>45006.0625</v>
      </c>
      <c r="H4" s="3">
        <f>(F4-DATE(1970,1,1))*86400+4*3600</f>
        <v>1679376600</v>
      </c>
    </row>
    <row r="6" spans="1:19" x14ac:dyDescent="0.3">
      <c r="A6" t="s">
        <v>0</v>
      </c>
      <c r="B6" t="s">
        <v>1</v>
      </c>
      <c r="C6" t="s">
        <v>2</v>
      </c>
      <c r="D6" t="s">
        <v>4</v>
      </c>
      <c r="E6" t="s">
        <v>5</v>
      </c>
    </row>
    <row r="7" spans="1:19" x14ac:dyDescent="0.3">
      <c r="A7">
        <v>1679369857</v>
      </c>
      <c r="B7">
        <v>73.437315702438354</v>
      </c>
      <c r="C7" t="s">
        <v>3</v>
      </c>
      <c r="D7">
        <f>AVERAGE($B$7:B7)</f>
        <v>73.437315702438354</v>
      </c>
      <c r="E7" t="str">
        <f>TEXT(((Query1[[#This Row],[epoch_time]]-4*3600)/86400)+25569,"YYYY-MM-DD HH:MM:SS")</f>
        <v>2023-03-20 23:37:37</v>
      </c>
    </row>
    <row r="8" spans="1:19" x14ac:dyDescent="0.3">
      <c r="A8">
        <v>1679369934</v>
      </c>
      <c r="B8">
        <v>76.68751072883606</v>
      </c>
      <c r="C8" t="s">
        <v>3</v>
      </c>
      <c r="D8">
        <f>AVERAGE($B$7:B8)</f>
        <v>75.062413215637207</v>
      </c>
      <c r="E8" t="str">
        <f>TEXT(((Query1[[#This Row],[epoch_time]]-4*3600)/86400)+25569,"YYYY-MM-DD HH:MM:SS")</f>
        <v>2023-03-20 23:38:54</v>
      </c>
    </row>
    <row r="9" spans="1:19" x14ac:dyDescent="0.3">
      <c r="A9">
        <v>1679369995</v>
      </c>
      <c r="B9">
        <v>61.441360950469971</v>
      </c>
      <c r="C9" t="s">
        <v>3</v>
      </c>
      <c r="D9">
        <f>AVERAGE($B$7:B9)</f>
        <v>70.522062460581466</v>
      </c>
      <c r="E9" t="str">
        <f>TEXT(((Query1[[#This Row],[epoch_time]]-4*3600)/86400)+25569,"YYYY-MM-DD HH:MM:SS")</f>
        <v>2023-03-20 23:39:55</v>
      </c>
    </row>
    <row r="10" spans="1:19" x14ac:dyDescent="0.3">
      <c r="A10">
        <v>1679370059</v>
      </c>
      <c r="B10">
        <v>64.203919410705566</v>
      </c>
      <c r="C10" t="s">
        <v>3</v>
      </c>
      <c r="D10">
        <f>AVERAGE($B$7:B10)</f>
        <v>68.942526698112488</v>
      </c>
      <c r="E10" t="str">
        <f>TEXT(((Query1[[#This Row],[epoch_time]]-4*3600)/86400)+25569,"YYYY-MM-DD HH:MM:SS")</f>
        <v>2023-03-20 23:40:59</v>
      </c>
    </row>
    <row r="11" spans="1:19" x14ac:dyDescent="0.3">
      <c r="A11">
        <v>1679370141</v>
      </c>
      <c r="B11">
        <v>81.561188459396362</v>
      </c>
      <c r="C11" t="s">
        <v>3</v>
      </c>
      <c r="D11">
        <f>AVERAGE($B$7:B11)</f>
        <v>71.46625905036926</v>
      </c>
      <c r="E11" t="str">
        <f>TEXT(((Query1[[#This Row],[epoch_time]]-4*3600)/86400)+25569,"YYYY-MM-DD HH:MM:SS")</f>
        <v>2023-03-20 23:42:21</v>
      </c>
    </row>
    <row r="12" spans="1:19" x14ac:dyDescent="0.3">
      <c r="A12">
        <v>1679370206</v>
      </c>
      <c r="B12">
        <v>65.341057777404785</v>
      </c>
      <c r="C12" t="s">
        <v>3</v>
      </c>
      <c r="D12">
        <f>AVERAGE($B$7:B12)</f>
        <v>70.445392171541855</v>
      </c>
      <c r="E12" t="str">
        <f>TEXT(((Query1[[#This Row],[epoch_time]]-4*3600)/86400)+25569,"YYYY-MM-DD HH:MM:SS")</f>
        <v>2023-03-20 23:43:26</v>
      </c>
    </row>
    <row r="13" spans="1:19" x14ac:dyDescent="0.3">
      <c r="A13">
        <v>1679370262</v>
      </c>
      <c r="B13">
        <v>55.894962787628174</v>
      </c>
      <c r="C13" t="s">
        <v>3</v>
      </c>
      <c r="D13">
        <f>AVERAGE($B$7:B13)</f>
        <v>68.366759402411319</v>
      </c>
      <c r="E13" t="str">
        <f>TEXT(((Query1[[#This Row],[epoch_time]]-4*3600)/86400)+25569,"YYYY-MM-DD HH:MM:SS")</f>
        <v>2023-03-20 23:44:22</v>
      </c>
    </row>
    <row r="14" spans="1:19" x14ac:dyDescent="0.3">
      <c r="A14">
        <v>1679370330</v>
      </c>
      <c r="B14">
        <v>67.834313631057739</v>
      </c>
      <c r="C14" t="s">
        <v>3</v>
      </c>
      <c r="D14">
        <f>AVERAGE($B$7:B14)</f>
        <v>68.300203680992126</v>
      </c>
      <c r="E14" t="str">
        <f>TEXT(((Query1[[#This Row],[epoch_time]]-4*3600)/86400)+25569,"YYYY-MM-DD HH:MM:SS")</f>
        <v>2023-03-20 23:45:30</v>
      </c>
    </row>
    <row r="15" spans="1:19" x14ac:dyDescent="0.3">
      <c r="A15">
        <v>1679370386</v>
      </c>
      <c r="B15">
        <v>55.694885492324829</v>
      </c>
      <c r="C15" t="s">
        <v>3</v>
      </c>
      <c r="D15">
        <f>AVERAGE($B$7:B15)</f>
        <v>66.899612771140198</v>
      </c>
      <c r="E15" t="str">
        <f>TEXT(((Query1[[#This Row],[epoch_time]]-4*3600)/86400)+25569,"YYYY-MM-DD HH:MM:SS")</f>
        <v>2023-03-20 23:46:26</v>
      </c>
    </row>
    <row r="16" spans="1:19" x14ac:dyDescent="0.3">
      <c r="A16">
        <v>1679370442</v>
      </c>
      <c r="B16">
        <v>56.232355117797852</v>
      </c>
      <c r="C16" t="s">
        <v>3</v>
      </c>
      <c r="D16">
        <f>AVERAGE($B$7:B16)</f>
        <v>65.832887005805972</v>
      </c>
      <c r="E16" t="str">
        <f>TEXT(((Query1[[#This Row],[epoch_time]]-4*3600)/86400)+25569,"YYYY-MM-DD HH:MM:SS")</f>
        <v>2023-03-20 23:47:22</v>
      </c>
    </row>
    <row r="17" spans="1:5" x14ac:dyDescent="0.3">
      <c r="A17">
        <v>1679370494</v>
      </c>
      <c r="B17">
        <v>51.794796466827393</v>
      </c>
      <c r="C17" t="s">
        <v>3</v>
      </c>
      <c r="D17">
        <f>AVERAGE($B$7:B17)</f>
        <v>64.556696956807912</v>
      </c>
      <c r="E17" t="str">
        <f>TEXT(((Query1[[#This Row],[epoch_time]]-4*3600)/86400)+25569,"YYYY-MM-DD HH:MM:SS")</f>
        <v>2023-03-20 23:48:14</v>
      </c>
    </row>
    <row r="18" spans="1:5" x14ac:dyDescent="0.3">
      <c r="A18">
        <v>1679370560</v>
      </c>
      <c r="B18">
        <v>65.799638986587524</v>
      </c>
      <c r="C18" t="s">
        <v>3</v>
      </c>
      <c r="D18">
        <f>AVERAGE($B$7:B18)</f>
        <v>64.660275459289551</v>
      </c>
      <c r="E18" t="str">
        <f>TEXT(((Query1[[#This Row],[epoch_time]]-4*3600)/86400)+25569,"YYYY-MM-DD HH:MM:SS")</f>
        <v>2023-03-20 23:49:20</v>
      </c>
    </row>
    <row r="19" spans="1:5" x14ac:dyDescent="0.3">
      <c r="A19">
        <v>1679370626</v>
      </c>
      <c r="B19">
        <v>65.566534042358398</v>
      </c>
      <c r="C19" t="s">
        <v>3</v>
      </c>
      <c r="D19">
        <f>AVERAGE($B$7:B19)</f>
        <v>64.729987657987152</v>
      </c>
      <c r="E19" t="str">
        <f>TEXT(((Query1[[#This Row],[epoch_time]]-4*3600)/86400)+25569,"YYYY-MM-DD HH:MM:SS")</f>
        <v>2023-03-20 23:50:26</v>
      </c>
    </row>
    <row r="20" spans="1:5" x14ac:dyDescent="0.3">
      <c r="A20">
        <v>1679370683</v>
      </c>
      <c r="B20">
        <v>57.095687627792358</v>
      </c>
      <c r="C20" t="s">
        <v>3</v>
      </c>
      <c r="D20">
        <f>AVERAGE($B$7:B20)</f>
        <v>64.184680512973245</v>
      </c>
      <c r="E20" t="str">
        <f>TEXT(((Query1[[#This Row],[epoch_time]]-4*3600)/86400)+25569,"YYYY-MM-DD HH:MM:SS")</f>
        <v>2023-03-20 23:51:23</v>
      </c>
    </row>
    <row r="21" spans="1:5" x14ac:dyDescent="0.3">
      <c r="A21">
        <v>1679370747</v>
      </c>
      <c r="B21">
        <v>63.809890747070313</v>
      </c>
      <c r="C21" t="s">
        <v>3</v>
      </c>
      <c r="D21">
        <f>AVERAGE($B$7:B21)</f>
        <v>64.159694528579706</v>
      </c>
      <c r="E21" t="str">
        <f>TEXT(((Query1[[#This Row],[epoch_time]]-4*3600)/86400)+25569,"YYYY-MM-DD HH:MM:SS")</f>
        <v>2023-03-20 23:52:27</v>
      </c>
    </row>
    <row r="22" spans="1:5" x14ac:dyDescent="0.3">
      <c r="A22">
        <v>1679370858</v>
      </c>
      <c r="B22">
        <v>111.47328233718872</v>
      </c>
      <c r="C22" t="s">
        <v>3</v>
      </c>
      <c r="D22">
        <f>AVERAGE($B$7:B22)</f>
        <v>67.116793766617775</v>
      </c>
      <c r="E22" t="str">
        <f>TEXT(((Query1[[#This Row],[epoch_time]]-4*3600)/86400)+25569,"YYYY-MM-DD HH:MM:SS")</f>
        <v>2023-03-20 23:54:18</v>
      </c>
    </row>
    <row r="23" spans="1:5" x14ac:dyDescent="0.3">
      <c r="A23">
        <v>1679370971</v>
      </c>
      <c r="B23">
        <v>113.1945662498474</v>
      </c>
      <c r="C23" t="s">
        <v>3</v>
      </c>
      <c r="D23">
        <f>AVERAGE($B$7:B23)</f>
        <v>69.827250971513635</v>
      </c>
      <c r="E23" t="str">
        <f>TEXT(((Query1[[#This Row],[epoch_time]]-4*3600)/86400)+25569,"YYYY-MM-DD HH:MM:SS")</f>
        <v>2023-03-20 23:56:11</v>
      </c>
    </row>
    <row r="24" spans="1:5" x14ac:dyDescent="0.3">
      <c r="A24">
        <v>1679371049</v>
      </c>
      <c r="B24">
        <v>78.306869745254517</v>
      </c>
      <c r="C24" t="s">
        <v>3</v>
      </c>
      <c r="D24">
        <f>AVERAGE($B$7:B24)</f>
        <v>70.298340903388123</v>
      </c>
      <c r="E24" t="str">
        <f>TEXT(((Query1[[#This Row],[epoch_time]]-4*3600)/86400)+25569,"YYYY-MM-DD HH:MM:SS")</f>
        <v>2023-03-20 23:57:29</v>
      </c>
    </row>
    <row r="25" spans="1:5" x14ac:dyDescent="0.3">
      <c r="A25">
        <v>1679371122</v>
      </c>
      <c r="B25">
        <v>73.355082750320435</v>
      </c>
      <c r="C25" t="s">
        <v>3</v>
      </c>
      <c r="D25">
        <f>AVERAGE($B$7:B25)</f>
        <v>70.459222053226668</v>
      </c>
      <c r="E25" t="str">
        <f>TEXT(((Query1[[#This Row],[epoch_time]]-4*3600)/86400)+25569,"YYYY-MM-DD HH:MM:SS")</f>
        <v>2023-03-20 23:58:42</v>
      </c>
    </row>
    <row r="26" spans="1:5" x14ac:dyDescent="0.3">
      <c r="A26">
        <v>1679371184</v>
      </c>
      <c r="B26">
        <v>61.647512912750237</v>
      </c>
      <c r="C26" t="s">
        <v>3</v>
      </c>
      <c r="D26">
        <f>AVERAGE($B$7:B26)</f>
        <v>70.018636596202853</v>
      </c>
      <c r="E26" t="str">
        <f>TEXT(((Query1[[#This Row],[epoch_time]]-4*3600)/86400)+25569,"YYYY-MM-DD HH:MM:SS")</f>
        <v>2023-03-20 23:59:44</v>
      </c>
    </row>
    <row r="27" spans="1:5" x14ac:dyDescent="0.3">
      <c r="A27">
        <v>1679371242</v>
      </c>
      <c r="B27">
        <v>58.064496755599976</v>
      </c>
      <c r="C27" t="s">
        <v>3</v>
      </c>
      <c r="D27">
        <f>AVERAGE($B$7:B27)</f>
        <v>69.449391841888428</v>
      </c>
      <c r="E27" t="str">
        <f>TEXT(((Query1[[#This Row],[epoch_time]]-4*3600)/86400)+25569,"YYYY-MM-DD HH:MM:SS")</f>
        <v>2023-03-21 00:00:42</v>
      </c>
    </row>
    <row r="28" spans="1:5" x14ac:dyDescent="0.3">
      <c r="A28">
        <v>1679371302</v>
      </c>
      <c r="B28">
        <v>60.200241804122925</v>
      </c>
      <c r="C28" t="s">
        <v>3</v>
      </c>
      <c r="D28">
        <f>AVERAGE($B$7:B28)</f>
        <v>69.028975931080907</v>
      </c>
      <c r="E28" t="str">
        <f>TEXT(((Query1[[#This Row],[epoch_time]]-4*3600)/86400)+25569,"YYYY-MM-DD HH:MM:SS")</f>
        <v>2023-03-21 00:01:42</v>
      </c>
    </row>
    <row r="29" spans="1:5" x14ac:dyDescent="0.3">
      <c r="A29">
        <v>1679371357</v>
      </c>
      <c r="B29">
        <v>55.231528043746948</v>
      </c>
      <c r="C29" t="s">
        <v>3</v>
      </c>
      <c r="D29">
        <f>AVERAGE($B$7:B29)</f>
        <v>68.429086892501161</v>
      </c>
      <c r="E29" t="str">
        <f>TEXT(((Query1[[#This Row],[epoch_time]]-4*3600)/86400)+25569,"YYYY-MM-DD HH:MM:SS")</f>
        <v>2023-03-21 00:02:37</v>
      </c>
    </row>
    <row r="30" spans="1:5" x14ac:dyDescent="0.3">
      <c r="A30">
        <v>1679371414</v>
      </c>
      <c r="B30">
        <v>56.995446443557739</v>
      </c>
      <c r="C30" t="s">
        <v>3</v>
      </c>
      <c r="D30">
        <f>AVERAGE($B$7:B30)</f>
        <v>67.952685207128525</v>
      </c>
      <c r="E30" t="str">
        <f>TEXT(((Query1[[#This Row],[epoch_time]]-4*3600)/86400)+25569,"YYYY-MM-DD HH:MM:SS")</f>
        <v>2023-03-21 00:03:34</v>
      </c>
    </row>
    <row r="31" spans="1:5" x14ac:dyDescent="0.3">
      <c r="A31">
        <v>1679371481</v>
      </c>
      <c r="B31">
        <v>66.54594087600708</v>
      </c>
      <c r="C31" t="s">
        <v>3</v>
      </c>
      <c r="D31">
        <f>AVERAGE($B$7:B31)</f>
        <v>67.896415433883661</v>
      </c>
      <c r="E31" t="str">
        <f>TEXT(((Query1[[#This Row],[epoch_time]]-4*3600)/86400)+25569,"YYYY-MM-DD HH:MM:SS")</f>
        <v>2023-03-21 00:04:41</v>
      </c>
    </row>
    <row r="32" spans="1:5" x14ac:dyDescent="0.3">
      <c r="A32">
        <v>1679371541</v>
      </c>
      <c r="B32">
        <v>60.036564588546753</v>
      </c>
      <c r="C32" t="s">
        <v>3</v>
      </c>
      <c r="D32">
        <f>AVERAGE($B$7:B32)</f>
        <v>67.594113478293792</v>
      </c>
      <c r="E32" t="str">
        <f>TEXT(((Query1[[#This Row],[epoch_time]]-4*3600)/86400)+25569,"YYYY-MM-DD HH:MM:SS")</f>
        <v>2023-03-21 00:05:41</v>
      </c>
    </row>
    <row r="33" spans="1:5" x14ac:dyDescent="0.3">
      <c r="A33">
        <v>1679371596</v>
      </c>
      <c r="B33">
        <v>55.300077199935913</v>
      </c>
      <c r="C33" t="s">
        <v>3</v>
      </c>
      <c r="D33">
        <f>AVERAGE($B$7:B33)</f>
        <v>67.138778801317571</v>
      </c>
      <c r="E33" t="str">
        <f>TEXT(((Query1[[#This Row],[epoch_time]]-4*3600)/86400)+25569,"YYYY-MM-DD HH:MM:SS")</f>
        <v>2023-03-21 00:06:36</v>
      </c>
    </row>
    <row r="34" spans="1:5" x14ac:dyDescent="0.3">
      <c r="A34">
        <v>1679371650</v>
      </c>
      <c r="B34">
        <v>53.854308605194092</v>
      </c>
      <c r="C34" t="s">
        <v>3</v>
      </c>
      <c r="D34">
        <f>AVERAGE($B$7:B34)</f>
        <v>66.664333437170299</v>
      </c>
      <c r="E34" t="str">
        <f>TEXT(((Query1[[#This Row],[epoch_time]]-4*3600)/86400)+25569,"YYYY-MM-DD HH:MM:SS")</f>
        <v>2023-03-21 00:07:30</v>
      </c>
    </row>
    <row r="35" spans="1:5" x14ac:dyDescent="0.3">
      <c r="A35">
        <v>1679371710</v>
      </c>
      <c r="B35">
        <v>60.168190717697144</v>
      </c>
      <c r="C35" t="s">
        <v>3</v>
      </c>
      <c r="D35">
        <f>AVERAGE($B$7:B35)</f>
        <v>66.440328515809156</v>
      </c>
      <c r="E35" t="str">
        <f>TEXT(((Query1[[#This Row],[epoch_time]]-4*3600)/86400)+25569,"YYYY-MM-DD HH:MM:SS")</f>
        <v>2023-03-21 00:08:30</v>
      </c>
    </row>
    <row r="36" spans="1:5" x14ac:dyDescent="0.3">
      <c r="A36">
        <v>1679371772</v>
      </c>
      <c r="B36">
        <v>61.743678569793701</v>
      </c>
      <c r="C36" t="s">
        <v>3</v>
      </c>
      <c r="D36">
        <f>AVERAGE($B$7:B36)</f>
        <v>66.283773517608637</v>
      </c>
      <c r="E36" t="str">
        <f>TEXT(((Query1[[#This Row],[epoch_time]]-4*3600)/86400)+25569,"YYYY-MM-DD HH:MM:SS")</f>
        <v>2023-03-21 00:09:32</v>
      </c>
    </row>
    <row r="37" spans="1:5" x14ac:dyDescent="0.3">
      <c r="A37">
        <v>1679371828</v>
      </c>
      <c r="B37">
        <v>55.818389415740967</v>
      </c>
      <c r="C37" t="s">
        <v>3</v>
      </c>
      <c r="D37">
        <f>AVERAGE($B$7:B37)</f>
        <v>65.94618048206452</v>
      </c>
      <c r="E37" t="str">
        <f>TEXT(((Query1[[#This Row],[epoch_time]]-4*3600)/86400)+25569,"YYYY-MM-DD HH:MM:SS")</f>
        <v>2023-03-21 00:10:28</v>
      </c>
    </row>
    <row r="38" spans="1:5" x14ac:dyDescent="0.3">
      <c r="A38">
        <v>1679371893</v>
      </c>
      <c r="B38">
        <v>64.616540670394897</v>
      </c>
      <c r="C38" t="s">
        <v>3</v>
      </c>
      <c r="D38">
        <f>AVERAGE($B$7:B38)</f>
        <v>65.904629237949848</v>
      </c>
      <c r="E38" t="str">
        <f>TEXT(((Query1[[#This Row],[epoch_time]]-4*3600)/86400)+25569,"YYYY-MM-DD HH:MM:SS")</f>
        <v>2023-03-21 00:11:33</v>
      </c>
    </row>
    <row r="39" spans="1:5" x14ac:dyDescent="0.3">
      <c r="A39">
        <v>1679371959</v>
      </c>
      <c r="B39">
        <v>65.969321966171265</v>
      </c>
      <c r="C39" t="s">
        <v>3</v>
      </c>
      <c r="D39">
        <f>AVERAGE($B$7:B39)</f>
        <v>65.906589623653531</v>
      </c>
      <c r="E39" t="str">
        <f>TEXT(((Query1[[#This Row],[epoch_time]]-4*3600)/86400)+25569,"YYYY-MM-DD HH:MM:SS")</f>
        <v>2023-03-21 00:12:39</v>
      </c>
    </row>
    <row r="40" spans="1:5" x14ac:dyDescent="0.3">
      <c r="A40">
        <v>1679372031</v>
      </c>
      <c r="B40">
        <v>72.487836599349976</v>
      </c>
      <c r="C40" t="s">
        <v>3</v>
      </c>
      <c r="D40">
        <f>AVERAGE($B$7:B40)</f>
        <v>66.100155711174011</v>
      </c>
      <c r="E40" t="str">
        <f>TEXT(((Query1[[#This Row],[epoch_time]]-4*3600)/86400)+25569,"YYYY-MM-DD HH:MM:SS")</f>
        <v>2023-03-21 00:13:51</v>
      </c>
    </row>
    <row r="41" spans="1:5" x14ac:dyDescent="0.3">
      <c r="A41">
        <v>1679372092</v>
      </c>
      <c r="B41">
        <v>61.073811769485474</v>
      </c>
      <c r="C41" t="s">
        <v>3</v>
      </c>
      <c r="D41">
        <f>AVERAGE($B$7:B41)</f>
        <v>65.956545884268621</v>
      </c>
      <c r="E41" t="str">
        <f>TEXT(((Query1[[#This Row],[epoch_time]]-4*3600)/86400)+25569,"YYYY-MM-DD HH:MM:SS")</f>
        <v>2023-03-21 00:14:52</v>
      </c>
    </row>
    <row r="42" spans="1:5" x14ac:dyDescent="0.3">
      <c r="A42">
        <v>1679372158</v>
      </c>
      <c r="B42">
        <v>66.43421745300293</v>
      </c>
      <c r="C42" t="s">
        <v>3</v>
      </c>
      <c r="D42">
        <f>AVERAGE($B$7:B42)</f>
        <v>65.969814538955688</v>
      </c>
      <c r="E42" t="str">
        <f>TEXT(((Query1[[#This Row],[epoch_time]]-4*3600)/86400)+25569,"YYYY-MM-DD HH:MM:SS")</f>
        <v>2023-03-21 00:15:58</v>
      </c>
    </row>
    <row r="43" spans="1:5" x14ac:dyDescent="0.3">
      <c r="A43">
        <v>1679372222</v>
      </c>
      <c r="B43">
        <v>63.744206428527832</v>
      </c>
      <c r="C43" t="s">
        <v>3</v>
      </c>
      <c r="D43">
        <f>AVERAGE($B$7:B43)</f>
        <v>65.90966296840358</v>
      </c>
      <c r="E43" t="str">
        <f>TEXT(((Query1[[#This Row],[epoch_time]]-4*3600)/86400)+25569,"YYYY-MM-DD HH:MM:SS")</f>
        <v>2023-03-21 00:17:02</v>
      </c>
    </row>
    <row r="44" spans="1:5" x14ac:dyDescent="0.3">
      <c r="A44">
        <v>1679372302</v>
      </c>
      <c r="B44">
        <v>80.253495454788208</v>
      </c>
      <c r="C44" t="s">
        <v>3</v>
      </c>
      <c r="D44">
        <f>AVERAGE($B$7:B44)</f>
        <v>66.287132244361075</v>
      </c>
      <c r="E44" t="str">
        <f>TEXT(((Query1[[#This Row],[epoch_time]]-4*3600)/86400)+25569,"YYYY-MM-DD HH:MM:SS")</f>
        <v>2023-03-21 00:18:22</v>
      </c>
    </row>
    <row r="45" spans="1:5" x14ac:dyDescent="0.3">
      <c r="A45">
        <v>1679372365</v>
      </c>
      <c r="B45">
        <v>63.237869262695313</v>
      </c>
      <c r="C45" t="s">
        <v>3</v>
      </c>
      <c r="D45">
        <f>AVERAGE($B$7:B45)</f>
        <v>66.208946014061951</v>
      </c>
      <c r="E45" t="str">
        <f>TEXT(((Query1[[#This Row],[epoch_time]]-4*3600)/86400)+25569,"YYYY-MM-DD HH:MM:SS")</f>
        <v>2023-03-21 00:19:25</v>
      </c>
    </row>
    <row r="46" spans="1:5" x14ac:dyDescent="0.3">
      <c r="A46">
        <v>1679372420</v>
      </c>
      <c r="B46">
        <v>54.987880229949951</v>
      </c>
      <c r="C46" t="s">
        <v>3</v>
      </c>
      <c r="D46">
        <f>AVERAGE($B$7:B46)</f>
        <v>65.928419369459149</v>
      </c>
      <c r="E46" t="str">
        <f>TEXT(((Query1[[#This Row],[epoch_time]]-4*3600)/86400)+25569,"YYYY-MM-DD HH:MM:SS")</f>
        <v>2023-03-21 00:20:20</v>
      </c>
    </row>
    <row r="47" spans="1:5" x14ac:dyDescent="0.3">
      <c r="A47">
        <v>1679372475</v>
      </c>
      <c r="B47">
        <v>55.255362987518311</v>
      </c>
      <c r="C47" t="s">
        <v>3</v>
      </c>
      <c r="D47">
        <f>AVERAGE($B$7:B47)</f>
        <v>65.668100921119134</v>
      </c>
      <c r="E47" t="str">
        <f>TEXT(((Query1[[#This Row],[epoch_time]]-4*3600)/86400)+25569,"YYYY-MM-DD HH:MM:SS")</f>
        <v>2023-03-21 00:21:15</v>
      </c>
    </row>
    <row r="48" spans="1:5" x14ac:dyDescent="0.3">
      <c r="A48">
        <v>1679372524</v>
      </c>
      <c r="B48">
        <v>48.620477199554443</v>
      </c>
      <c r="C48" t="s">
        <v>3</v>
      </c>
      <c r="D48">
        <f>AVERAGE($B$7:B48)</f>
        <v>65.262205118224728</v>
      </c>
      <c r="E48" t="str">
        <f>TEXT(((Query1[[#This Row],[epoch_time]]-4*3600)/86400)+25569,"YYYY-MM-DD HH:MM:SS")</f>
        <v>2023-03-21 00:22:04</v>
      </c>
    </row>
    <row r="49" spans="1:5" x14ac:dyDescent="0.3">
      <c r="A49">
        <v>1679372594</v>
      </c>
      <c r="B49">
        <v>69.630697965621948</v>
      </c>
      <c r="C49" t="s">
        <v>3</v>
      </c>
      <c r="D49">
        <f>AVERAGE($B$7:B49)</f>
        <v>65.363797975140955</v>
      </c>
      <c r="E49" t="str">
        <f>TEXT(((Query1[[#This Row],[epoch_time]]-4*3600)/86400)+25569,"YYYY-MM-DD HH:MM:SS")</f>
        <v>2023-03-21 00:23:14</v>
      </c>
    </row>
    <row r="50" spans="1:5" x14ac:dyDescent="0.3">
      <c r="A50">
        <v>1679372659</v>
      </c>
      <c r="B50">
        <v>64.608587503433228</v>
      </c>
      <c r="C50" t="s">
        <v>3</v>
      </c>
      <c r="D50">
        <f>AVERAGE($B$7:B50)</f>
        <v>65.346634100783959</v>
      </c>
      <c r="E50" t="str">
        <f>TEXT(((Query1[[#This Row],[epoch_time]]-4*3600)/86400)+25569,"YYYY-MM-DD HH:MM:SS")</f>
        <v>2023-03-21 00:24:19</v>
      </c>
    </row>
    <row r="51" spans="1:5" x14ac:dyDescent="0.3">
      <c r="A51">
        <v>1679372711</v>
      </c>
      <c r="B51">
        <v>52.486898183822632</v>
      </c>
      <c r="C51" t="s">
        <v>3</v>
      </c>
      <c r="D51">
        <f>AVERAGE($B$7:B51)</f>
        <v>65.060862191518154</v>
      </c>
      <c r="E51" t="str">
        <f>TEXT(((Query1[[#This Row],[epoch_time]]-4*3600)/86400)+25569,"YYYY-MM-DD HH:MM:SS")</f>
        <v>2023-03-21 00:25:11</v>
      </c>
    </row>
    <row r="52" spans="1:5" x14ac:dyDescent="0.3">
      <c r="A52">
        <v>1679372786</v>
      </c>
      <c r="B52">
        <v>75.210127592086792</v>
      </c>
      <c r="C52" t="s">
        <v>3</v>
      </c>
      <c r="D52">
        <f>AVERAGE($B$7:B52)</f>
        <v>65.28149839587833</v>
      </c>
      <c r="E52" t="str">
        <f>TEXT(((Query1[[#This Row],[epoch_time]]-4*3600)/86400)+25569,"YYYY-MM-DD HH:MM:SS")</f>
        <v>2023-03-21 00:26:26</v>
      </c>
    </row>
    <row r="53" spans="1:5" x14ac:dyDescent="0.3">
      <c r="A53">
        <v>1679372846</v>
      </c>
      <c r="B53">
        <v>60.460669994354248</v>
      </c>
      <c r="C53" t="s">
        <v>3</v>
      </c>
      <c r="D53">
        <f>AVERAGE($B$7:B53)</f>
        <v>65.178927578824627</v>
      </c>
      <c r="E53" t="str">
        <f>TEXT(((Query1[[#This Row],[epoch_time]]-4*3600)/86400)+25569,"YYYY-MM-DD HH:MM:SS")</f>
        <v>2023-03-21 00:27:26</v>
      </c>
    </row>
    <row r="54" spans="1:5" x14ac:dyDescent="0.3">
      <c r="A54">
        <v>1679372901</v>
      </c>
      <c r="B54">
        <v>55.479791641235352</v>
      </c>
      <c r="C54" t="s">
        <v>3</v>
      </c>
      <c r="D54">
        <f>AVERAGE($B$7:B54)</f>
        <v>64.976862246791526</v>
      </c>
      <c r="E54" t="str">
        <f>TEXT(((Query1[[#This Row],[epoch_time]]-4*3600)/86400)+25569,"YYYY-MM-DD HH:MM:SS")</f>
        <v>2023-03-21 00:28:21</v>
      </c>
    </row>
    <row r="55" spans="1:5" x14ac:dyDescent="0.3">
      <c r="A55">
        <v>1679372968</v>
      </c>
      <c r="B55">
        <v>67.331460237503052</v>
      </c>
      <c r="C55" t="s">
        <v>3</v>
      </c>
      <c r="D55">
        <f>AVERAGE($B$7:B55)</f>
        <v>65.02491526701013</v>
      </c>
      <c r="E55" t="str">
        <f>TEXT(((Query1[[#This Row],[epoch_time]]-4*3600)/86400)+25569,"YYYY-MM-DD HH:MM:SS")</f>
        <v>2023-03-21 00:29:28</v>
      </c>
    </row>
    <row r="56" spans="1:5" x14ac:dyDescent="0.3">
      <c r="A56">
        <v>1679373034</v>
      </c>
      <c r="B56">
        <v>66.130562305450439</v>
      </c>
      <c r="C56" t="s">
        <v>3</v>
      </c>
      <c r="D56">
        <f>AVERAGE($B$7:B56)</f>
        <v>65.047028207778936</v>
      </c>
      <c r="E56" t="str">
        <f>TEXT(((Query1[[#This Row],[epoch_time]]-4*3600)/86400)+25569,"YYYY-MM-DD HH:MM:SS")</f>
        <v>2023-03-21 00:30:34</v>
      </c>
    </row>
    <row r="57" spans="1:5" x14ac:dyDescent="0.3">
      <c r="A57">
        <v>1679373100</v>
      </c>
      <c r="B57">
        <v>66.172646760940552</v>
      </c>
      <c r="C57" t="s">
        <v>3</v>
      </c>
      <c r="D57">
        <f>AVERAGE($B$7:B57)</f>
        <v>65.069099159801709</v>
      </c>
      <c r="E57" t="str">
        <f>TEXT(((Query1[[#This Row],[epoch_time]]-4*3600)/86400)+25569,"YYYY-MM-DD HH:MM:SS")</f>
        <v>2023-03-21 00:31:40</v>
      </c>
    </row>
    <row r="58" spans="1:5" x14ac:dyDescent="0.3">
      <c r="A58">
        <v>1679373154</v>
      </c>
      <c r="B58">
        <v>54.447979688644409</v>
      </c>
      <c r="C58" t="s">
        <v>3</v>
      </c>
      <c r="D58">
        <f>AVERAGE($B$7:B58)</f>
        <v>64.86484686227945</v>
      </c>
      <c r="E58" t="str">
        <f>TEXT(((Query1[[#This Row],[epoch_time]]-4*3600)/86400)+25569,"YYYY-MM-DD HH:MM:SS")</f>
        <v>2023-03-21 00:32:34</v>
      </c>
    </row>
    <row r="59" spans="1:5" x14ac:dyDescent="0.3">
      <c r="A59">
        <v>1679373208</v>
      </c>
      <c r="B59">
        <v>54.1145339012146</v>
      </c>
      <c r="C59" t="s">
        <v>3</v>
      </c>
      <c r="D59">
        <f>AVERAGE($B$7:B59)</f>
        <v>64.662010768674449</v>
      </c>
      <c r="E59" t="str">
        <f>TEXT(((Query1[[#This Row],[epoch_time]]-4*3600)/86400)+25569,"YYYY-MM-DD HH:MM:SS")</f>
        <v>2023-03-21 00:33:28</v>
      </c>
    </row>
    <row r="60" spans="1:5" x14ac:dyDescent="0.3">
      <c r="A60">
        <v>1679373279</v>
      </c>
      <c r="B60">
        <v>70.501036405563354</v>
      </c>
      <c r="C60" t="s">
        <v>3</v>
      </c>
      <c r="D60">
        <f>AVERAGE($B$7:B60)</f>
        <v>64.77014087306128</v>
      </c>
      <c r="E60" t="str">
        <f>TEXT(((Query1[[#This Row],[epoch_time]]-4*3600)/86400)+25569,"YYYY-MM-DD HH:MM:SS")</f>
        <v>2023-03-21 00:34:39</v>
      </c>
    </row>
    <row r="61" spans="1:5" x14ac:dyDescent="0.3">
      <c r="A61">
        <v>1679373583</v>
      </c>
      <c r="B61">
        <v>303.93469071388245</v>
      </c>
      <c r="C61" t="s">
        <v>3</v>
      </c>
      <c r="D61">
        <f>AVERAGE($B$7:B61)</f>
        <v>69.118587233803495</v>
      </c>
      <c r="E61" t="str">
        <f>TEXT(((Query1[[#This Row],[epoch_time]]-4*3600)/86400)+25569,"YYYY-MM-DD HH:MM:SS")</f>
        <v>2023-03-21 00:39:43</v>
      </c>
    </row>
    <row r="62" spans="1:5" x14ac:dyDescent="0.3">
      <c r="A62">
        <v>1679373680</v>
      </c>
      <c r="B62">
        <v>97.251665830612183</v>
      </c>
      <c r="C62" t="s">
        <v>3</v>
      </c>
      <c r="D62">
        <f>AVERAGE($B$7:B62)</f>
        <v>69.620963637317928</v>
      </c>
      <c r="E62" t="str">
        <f>TEXT(((Query1[[#This Row],[epoch_time]]-4*3600)/86400)+25569,"YYYY-MM-DD HH:MM:SS")</f>
        <v>2023-03-21 00:41:20</v>
      </c>
    </row>
    <row r="63" spans="1:5" x14ac:dyDescent="0.3">
      <c r="A63">
        <v>1679373753</v>
      </c>
      <c r="B63">
        <v>72.805769205093384</v>
      </c>
      <c r="C63" t="s">
        <v>3</v>
      </c>
      <c r="D63">
        <f>AVERAGE($B$7:B63)</f>
        <v>69.676837419208724</v>
      </c>
      <c r="E63" t="str">
        <f>TEXT(((Query1[[#This Row],[epoch_time]]-4*3600)/86400)+25569,"YYYY-MM-DD HH:MM:SS")</f>
        <v>2023-03-21 00:42:33</v>
      </c>
    </row>
    <row r="64" spans="1:5" x14ac:dyDescent="0.3">
      <c r="A64">
        <v>1679373813</v>
      </c>
      <c r="B64">
        <v>60.408963680267334</v>
      </c>
      <c r="C64" t="s">
        <v>3</v>
      </c>
      <c r="D64">
        <f>AVERAGE($B$7:B64)</f>
        <v>69.517046492675249</v>
      </c>
      <c r="E64" t="str">
        <f>TEXT(((Query1[[#This Row],[epoch_time]]-4*3600)/86400)+25569,"YYYY-MM-DD HH:MM:SS")</f>
        <v>2023-03-21 00:43:33</v>
      </c>
    </row>
    <row r="65" spans="1:5" x14ac:dyDescent="0.3">
      <c r="A65">
        <v>1679373909</v>
      </c>
      <c r="B65">
        <v>96.3457417488098</v>
      </c>
      <c r="C65" t="s">
        <v>3</v>
      </c>
      <c r="D65">
        <f>AVERAGE($B$7:B65)</f>
        <v>69.97177014108432</v>
      </c>
      <c r="E65" t="str">
        <f>TEXT(((Query1[[#This Row],[epoch_time]]-4*3600)/86400)+25569,"YYYY-MM-DD HH:MM:SS")</f>
        <v>2023-03-21 00:45:09</v>
      </c>
    </row>
    <row r="66" spans="1:5" x14ac:dyDescent="0.3">
      <c r="A66">
        <v>1679374009</v>
      </c>
      <c r="B66">
        <v>99.670930862426758</v>
      </c>
      <c r="C66" t="s">
        <v>3</v>
      </c>
      <c r="D66">
        <f>AVERAGE($B$7:B66)</f>
        <v>70.466756153106687</v>
      </c>
      <c r="E66" t="str">
        <f>TEXT(((Query1[[#This Row],[epoch_time]]-4*3600)/86400)+25569,"YYYY-MM-DD HH:MM:SS")</f>
        <v>2023-03-21 00:46:49</v>
      </c>
    </row>
    <row r="67" spans="1:5" x14ac:dyDescent="0.3">
      <c r="A67">
        <v>1679374113</v>
      </c>
      <c r="B67">
        <v>103.8329017162323</v>
      </c>
      <c r="C67" t="s">
        <v>3</v>
      </c>
      <c r="D67">
        <f>AVERAGE($B$7:B67)</f>
        <v>71.013742145944818</v>
      </c>
      <c r="E67" t="str">
        <f>TEXT(((Query1[[#This Row],[epoch_time]]-4*3600)/86400)+25569,"YYYY-MM-DD HH:MM:SS")</f>
        <v>2023-03-21 00:48:33</v>
      </c>
    </row>
    <row r="68" spans="1:5" x14ac:dyDescent="0.3">
      <c r="A68">
        <v>1679374172</v>
      </c>
      <c r="B68">
        <v>58.939978122711182</v>
      </c>
      <c r="C68" t="s">
        <v>3</v>
      </c>
      <c r="D68">
        <f>AVERAGE($B$7:B68)</f>
        <v>70.819004016537818</v>
      </c>
      <c r="E68" t="str">
        <f>TEXT(((Query1[[#This Row],[epoch_time]]-4*3600)/86400)+25569,"YYYY-MM-DD HH:MM:SS")</f>
        <v>2023-03-21 00:49:32</v>
      </c>
    </row>
    <row r="69" spans="1:5" x14ac:dyDescent="0.3">
      <c r="A69">
        <v>1679374240</v>
      </c>
      <c r="B69">
        <v>67.50324273109436</v>
      </c>
      <c r="C69" t="s">
        <v>3</v>
      </c>
      <c r="D69">
        <f>AVERAGE($B$7:B69)</f>
        <v>70.766372885022847</v>
      </c>
      <c r="E69" t="str">
        <f>TEXT(((Query1[[#This Row],[epoch_time]]-4*3600)/86400)+25569,"YYYY-MM-DD HH:MM:SS")</f>
        <v>2023-03-21 00:50:40</v>
      </c>
    </row>
    <row r="70" spans="1:5" x14ac:dyDescent="0.3">
      <c r="A70">
        <v>1679374343</v>
      </c>
      <c r="B70">
        <v>103.43378710746764</v>
      </c>
      <c r="C70" t="s">
        <v>3</v>
      </c>
      <c r="D70">
        <f>AVERAGE($B$7:B70)</f>
        <v>71.276801232248545</v>
      </c>
      <c r="E70" t="str">
        <f>TEXT(((Query1[[#This Row],[epoch_time]]-4*3600)/86400)+25569,"YYYY-MM-DD HH:MM:SS")</f>
        <v>2023-03-21 00:52:23</v>
      </c>
    </row>
    <row r="71" spans="1:5" x14ac:dyDescent="0.3">
      <c r="A71">
        <v>1679374404</v>
      </c>
      <c r="B71">
        <v>61.04486083984375</v>
      </c>
      <c r="C71" t="s">
        <v>3</v>
      </c>
      <c r="D71">
        <f>AVERAGE($B$7:B71)</f>
        <v>71.119386764673081</v>
      </c>
      <c r="E71" t="str">
        <f>TEXT(((Query1[[#This Row],[epoch_time]]-4*3600)/86400)+25569,"YYYY-MM-DD HH:MM:SS")</f>
        <v>2023-03-21 00:53:24</v>
      </c>
    </row>
    <row r="72" spans="1:5" x14ac:dyDescent="0.3">
      <c r="A72">
        <v>1679374470</v>
      </c>
      <c r="B72">
        <v>66.229803085327148</v>
      </c>
      <c r="C72" t="s">
        <v>3</v>
      </c>
      <c r="D72">
        <f>AVERAGE($B$7:B72)</f>
        <v>71.045302163470879</v>
      </c>
      <c r="E72" t="str">
        <f>TEXT(((Query1[[#This Row],[epoch_time]]-4*3600)/86400)+25569,"YYYY-MM-DD HH:MM:SS")</f>
        <v>2023-03-21 00:54:30</v>
      </c>
    </row>
    <row r="73" spans="1:5" x14ac:dyDescent="0.3">
      <c r="A73">
        <v>1679374541</v>
      </c>
      <c r="B73">
        <v>71.412445068359375</v>
      </c>
      <c r="C73" t="s">
        <v>3</v>
      </c>
      <c r="D73">
        <f>AVERAGE($B$7:B73)</f>
        <v>71.050781908319962</v>
      </c>
      <c r="E73" t="str">
        <f>TEXT(((Query1[[#This Row],[epoch_time]]-4*3600)/86400)+25569,"YYYY-MM-DD HH:MM:SS")</f>
        <v>2023-03-21 00:55:41</v>
      </c>
    </row>
    <row r="74" spans="1:5" x14ac:dyDescent="0.3">
      <c r="A74">
        <v>1679374595</v>
      </c>
      <c r="B74">
        <v>53.706138849258423</v>
      </c>
      <c r="C74" t="s">
        <v>3</v>
      </c>
      <c r="D74">
        <f>AVERAGE($B$7:B74)</f>
        <v>70.795713628039636</v>
      </c>
      <c r="E74" t="str">
        <f>TEXT(((Query1[[#This Row],[epoch_time]]-4*3600)/86400)+25569,"YYYY-MM-DD HH:MM:SS")</f>
        <v>2023-03-21 00:56:35</v>
      </c>
    </row>
    <row r="75" spans="1:5" x14ac:dyDescent="0.3">
      <c r="A75">
        <v>1679374661</v>
      </c>
      <c r="B75">
        <v>66.033412456512451</v>
      </c>
      <c r="C75" t="s">
        <v>3</v>
      </c>
      <c r="D75">
        <f>AVERAGE($B$7:B75)</f>
        <v>70.726694770481274</v>
      </c>
      <c r="E75" t="str">
        <f>TEXT(((Query1[[#This Row],[epoch_time]]-4*3600)/86400)+25569,"YYYY-MM-DD HH:MM:SS")</f>
        <v>2023-03-21 00:57:41</v>
      </c>
    </row>
    <row r="76" spans="1:5" x14ac:dyDescent="0.3">
      <c r="A76">
        <v>1679374713</v>
      </c>
      <c r="B76">
        <v>51.550013542175293</v>
      </c>
      <c r="C76" t="s">
        <v>3</v>
      </c>
      <c r="D76">
        <f>AVERAGE($B$7:B76)</f>
        <v>70.452742181505471</v>
      </c>
      <c r="E76" t="str">
        <f>TEXT(((Query1[[#This Row],[epoch_time]]-4*3600)/86400)+25569,"YYYY-MM-DD HH:MM:SS")</f>
        <v>2023-03-21 00:58:33</v>
      </c>
    </row>
    <row r="77" spans="1:5" x14ac:dyDescent="0.3">
      <c r="A77">
        <v>1679374774</v>
      </c>
      <c r="B77">
        <v>61.271472215652466</v>
      </c>
      <c r="C77" t="s">
        <v>3</v>
      </c>
      <c r="D77">
        <f>AVERAGE($B$7:B77)</f>
        <v>70.323428520014588</v>
      </c>
      <c r="E77" t="str">
        <f>TEXT(((Query1[[#This Row],[epoch_time]]-4*3600)/86400)+25569,"YYYY-MM-DD HH:MM:SS")</f>
        <v>2023-03-21 00:59:34</v>
      </c>
    </row>
    <row r="78" spans="1:5" x14ac:dyDescent="0.3">
      <c r="A78">
        <v>1679374839</v>
      </c>
      <c r="B78">
        <v>64.753584146499634</v>
      </c>
      <c r="C78" t="s">
        <v>3</v>
      </c>
      <c r="D78">
        <f>AVERAGE($B$7:B78)</f>
        <v>70.246069570382431</v>
      </c>
      <c r="E78" t="str">
        <f>TEXT(((Query1[[#This Row],[epoch_time]]-4*3600)/86400)+25569,"YYYY-MM-DD HH:MM:SS")</f>
        <v>2023-03-21 01:00:39</v>
      </c>
    </row>
    <row r="79" spans="1:5" x14ac:dyDescent="0.3">
      <c r="A79">
        <v>1679374891</v>
      </c>
      <c r="B79">
        <v>51.938063144683838</v>
      </c>
      <c r="C79" t="s">
        <v>3</v>
      </c>
      <c r="D79">
        <f>AVERAGE($B$7:B79)</f>
        <v>69.995274961811219</v>
      </c>
      <c r="E79" t="str">
        <f>TEXT(((Query1[[#This Row],[epoch_time]]-4*3600)/86400)+25569,"YYYY-MM-DD HH:MM:SS")</f>
        <v>2023-03-21 01:01:31</v>
      </c>
    </row>
    <row r="80" spans="1:5" x14ac:dyDescent="0.3">
      <c r="A80">
        <v>1679374961</v>
      </c>
      <c r="B80">
        <v>70.467601299285889</v>
      </c>
      <c r="C80" t="s">
        <v>3</v>
      </c>
      <c r="D80">
        <f>AVERAGE($B$7:B80)</f>
        <v>70.001657750155474</v>
      </c>
      <c r="E80" t="str">
        <f>TEXT(((Query1[[#This Row],[epoch_time]]-4*3600)/86400)+25569,"YYYY-MM-DD HH:MM:SS")</f>
        <v>2023-03-21 01:02:41</v>
      </c>
    </row>
    <row r="81" spans="1:5" x14ac:dyDescent="0.3">
      <c r="A81">
        <v>1679375046</v>
      </c>
      <c r="B81">
        <v>85.27372145652771</v>
      </c>
      <c r="C81" t="s">
        <v>3</v>
      </c>
      <c r="D81">
        <f>AVERAGE($B$7:B81)</f>
        <v>70.205285266240438</v>
      </c>
      <c r="E81" t="str">
        <f>TEXT(((Query1[[#This Row],[epoch_time]]-4*3600)/86400)+25569,"YYYY-MM-DD HH:MM:SS")</f>
        <v>2023-03-21 01:04:06</v>
      </c>
    </row>
    <row r="82" spans="1:5" x14ac:dyDescent="0.3">
      <c r="A82">
        <v>1679375111</v>
      </c>
      <c r="B82">
        <v>64.540393590927124</v>
      </c>
      <c r="C82" t="s">
        <v>3</v>
      </c>
      <c r="D82">
        <f>AVERAGE($B$7:B82)</f>
        <v>70.130747217881051</v>
      </c>
      <c r="E82" t="str">
        <f>TEXT(((Query1[[#This Row],[epoch_time]]-4*3600)/86400)+25569,"YYYY-MM-DD HH:MM:SS")</f>
        <v>2023-03-21 01:05:11</v>
      </c>
    </row>
    <row r="83" spans="1:5" x14ac:dyDescent="0.3">
      <c r="A83">
        <v>1679375200</v>
      </c>
      <c r="B83">
        <v>89.319123029708862</v>
      </c>
      <c r="C83" t="s">
        <v>3</v>
      </c>
      <c r="D83">
        <f>AVERAGE($B$7:B83)</f>
        <v>70.379946903748944</v>
      </c>
      <c r="E83" t="str">
        <f>TEXT(((Query1[[#This Row],[epoch_time]]-4*3600)/86400)+25569,"YYYY-MM-DD HH:MM:SS")</f>
        <v>2023-03-21 01:06:40</v>
      </c>
    </row>
    <row r="84" spans="1:5" x14ac:dyDescent="0.3">
      <c r="A84">
        <v>1679375264</v>
      </c>
      <c r="B84">
        <v>64.36874794960022</v>
      </c>
      <c r="C84" t="s">
        <v>3</v>
      </c>
      <c r="D84">
        <f>AVERAGE($B$7:B84)</f>
        <v>70.302880250490631</v>
      </c>
      <c r="E84" t="str">
        <f>TEXT(((Query1[[#This Row],[epoch_time]]-4*3600)/86400)+25569,"YYYY-MM-DD HH:MM:SS")</f>
        <v>2023-03-21 01:07:44</v>
      </c>
    </row>
    <row r="85" spans="1:5" x14ac:dyDescent="0.3">
      <c r="A85">
        <v>1679375359</v>
      </c>
      <c r="B85">
        <v>95.364274978637695</v>
      </c>
      <c r="C85" t="s">
        <v>3</v>
      </c>
      <c r="D85">
        <f>AVERAGE($B$7:B85)</f>
        <v>70.620113095150714</v>
      </c>
      <c r="E85" t="str">
        <f>TEXT(((Query1[[#This Row],[epoch_time]]-4*3600)/86400)+25569,"YYYY-MM-DD HH:MM:SS")</f>
        <v>2023-03-21 01:09:19</v>
      </c>
    </row>
    <row r="86" spans="1:5" x14ac:dyDescent="0.3">
      <c r="A86">
        <v>1679375427</v>
      </c>
      <c r="B86">
        <v>68.299431562423706</v>
      </c>
      <c r="C86" t="s">
        <v>3</v>
      </c>
      <c r="D86">
        <f>AVERAGE($B$7:B86)</f>
        <v>70.591104575991636</v>
      </c>
      <c r="E86" t="str">
        <f>TEXT(((Query1[[#This Row],[epoch_time]]-4*3600)/86400)+25569,"YYYY-MM-DD HH:MM:SS")</f>
        <v>2023-03-21 01:10:27</v>
      </c>
    </row>
    <row r="87" spans="1:5" x14ac:dyDescent="0.3">
      <c r="A87">
        <v>1679375487</v>
      </c>
      <c r="B87">
        <v>60.027172327041626</v>
      </c>
      <c r="C87" t="s">
        <v>3</v>
      </c>
      <c r="D87">
        <f>AVERAGE($B$7:B87)</f>
        <v>70.460685659337926</v>
      </c>
      <c r="E87" t="str">
        <f>TEXT(((Query1[[#This Row],[epoch_time]]-4*3600)/86400)+25569,"YYYY-MM-DD HH:MM:SS")</f>
        <v>2023-03-21 01:11:27</v>
      </c>
    </row>
    <row r="88" spans="1:5" x14ac:dyDescent="0.3">
      <c r="A88">
        <v>1679375547</v>
      </c>
      <c r="B88">
        <v>59.762474775314331</v>
      </c>
      <c r="C88" t="s">
        <v>3</v>
      </c>
      <c r="D88">
        <f>AVERAGE($B$7:B88)</f>
        <v>70.330219672947393</v>
      </c>
      <c r="E88" t="str">
        <f>TEXT(((Query1[[#This Row],[epoch_time]]-4*3600)/86400)+25569,"YYYY-MM-DD HH:MM:SS")</f>
        <v>2023-03-21 01:12:27</v>
      </c>
    </row>
    <row r="89" spans="1:5" x14ac:dyDescent="0.3">
      <c r="A89">
        <v>1679375599</v>
      </c>
      <c r="B89">
        <v>52.319797277450562</v>
      </c>
      <c r="C89" t="s">
        <v>3</v>
      </c>
      <c r="D89">
        <f>AVERAGE($B$7:B89)</f>
        <v>70.113226632037794</v>
      </c>
      <c r="E89" t="str">
        <f>TEXT(((Query1[[#This Row],[epoch_time]]-4*3600)/86400)+25569,"YYYY-MM-DD HH:MM:SS")</f>
        <v>2023-03-21 01:13:19</v>
      </c>
    </row>
    <row r="90" spans="1:5" x14ac:dyDescent="0.3">
      <c r="A90">
        <v>1679375652</v>
      </c>
      <c r="B90">
        <v>52.568745374679565</v>
      </c>
      <c r="C90" t="s">
        <v>3</v>
      </c>
      <c r="D90">
        <f>AVERAGE($B$7:B90)</f>
        <v>69.904363759926383</v>
      </c>
      <c r="E90" t="str">
        <f>TEXT(((Query1[[#This Row],[epoch_time]]-4*3600)/86400)+25569,"YYYY-MM-DD HH:MM:SS")</f>
        <v>2023-03-21 01:14:12</v>
      </c>
    </row>
    <row r="91" spans="1:5" x14ac:dyDescent="0.3">
      <c r="A91">
        <v>1679375713</v>
      </c>
      <c r="B91">
        <v>60.883955240249634</v>
      </c>
      <c r="C91" t="s">
        <v>3</v>
      </c>
      <c r="D91">
        <f>AVERAGE($B$7:B91)</f>
        <v>69.798241306753724</v>
      </c>
      <c r="E91" t="str">
        <f>TEXT(((Query1[[#This Row],[epoch_time]]-4*3600)/86400)+25569,"YYYY-MM-DD HH:MM:SS")</f>
        <v>2023-03-21 01:15:13</v>
      </c>
    </row>
    <row r="92" spans="1:5" x14ac:dyDescent="0.3">
      <c r="A92">
        <v>1679375778</v>
      </c>
      <c r="B92">
        <v>65.14385461807251</v>
      </c>
      <c r="C92" t="s">
        <v>3</v>
      </c>
      <c r="D92">
        <f>AVERAGE($B$7:B92)</f>
        <v>69.744120531303935</v>
      </c>
      <c r="E92" t="str">
        <f>TEXT(((Query1[[#This Row],[epoch_time]]-4*3600)/86400)+25569,"YYYY-MM-DD HH:MM:SS")</f>
        <v>2023-03-21 01:16:18</v>
      </c>
    </row>
    <row r="93" spans="1:5" x14ac:dyDescent="0.3">
      <c r="A93">
        <v>1679375873</v>
      </c>
      <c r="B93">
        <v>95.345845460891724</v>
      </c>
      <c r="C93" t="s">
        <v>3</v>
      </c>
      <c r="D93">
        <f>AVERAGE($B$7:B93)</f>
        <v>70.038393231644022</v>
      </c>
      <c r="E93" t="str">
        <f>TEXT(((Query1[[#This Row],[epoch_time]]-4*3600)/86400)+25569,"YYYY-MM-DD HH:MM:SS")</f>
        <v>2023-03-21 01:17:53</v>
      </c>
    </row>
    <row r="94" spans="1:5" x14ac:dyDescent="0.3">
      <c r="A94">
        <v>1679375927</v>
      </c>
      <c r="B94">
        <v>53.796937942504883</v>
      </c>
      <c r="C94" t="s">
        <v>3</v>
      </c>
      <c r="D94">
        <f>AVERAGE($B$7:B94)</f>
        <v>69.853831239721998</v>
      </c>
      <c r="E94" t="str">
        <f>TEXT(((Query1[[#This Row],[epoch_time]]-4*3600)/86400)+25569,"YYYY-MM-DD HH:MM:SS")</f>
        <v>2023-03-21 01:18:47</v>
      </c>
    </row>
    <row r="95" spans="1:5" x14ac:dyDescent="0.3">
      <c r="A95">
        <v>1679376012</v>
      </c>
      <c r="B95">
        <v>85.330855369567871</v>
      </c>
      <c r="C95" t="s">
        <v>3</v>
      </c>
      <c r="D95">
        <f>AVERAGE($B$7:B95)</f>
        <v>70.027730387248354</v>
      </c>
      <c r="E95" t="str">
        <f>TEXT(((Query1[[#This Row],[epoch_time]]-4*3600)/86400)+25569,"YYYY-MM-DD HH:MM:SS")</f>
        <v>2023-03-21 01:20:12</v>
      </c>
    </row>
    <row r="96" spans="1:5" x14ac:dyDescent="0.3">
      <c r="A96">
        <v>1679376174</v>
      </c>
      <c r="B96">
        <v>161.70698070526123</v>
      </c>
      <c r="C96" t="s">
        <v>3</v>
      </c>
      <c r="D96">
        <f>AVERAGE($B$7:B96)</f>
        <v>71.046388724115161</v>
      </c>
      <c r="E96" t="str">
        <f>TEXT(((Query1[[#This Row],[epoch_time]]-4*3600)/86400)+25569,"YYYY-MM-DD HH:MM:SS")</f>
        <v>2023-03-21 01:22:54</v>
      </c>
    </row>
    <row r="97" spans="1:5" x14ac:dyDescent="0.3">
      <c r="A97">
        <v>1679376248</v>
      </c>
      <c r="B97">
        <v>74.496720552444458</v>
      </c>
      <c r="C97" t="s">
        <v>3</v>
      </c>
      <c r="D97">
        <f>AVERAGE($B$7:B97)</f>
        <v>71.084304458492412</v>
      </c>
      <c r="E97" t="str">
        <f>TEXT(((Query1[[#This Row],[epoch_time]]-4*3600)/86400)+25569,"YYYY-MM-DD HH:MM:SS")</f>
        <v>2023-03-21 01:24:08</v>
      </c>
    </row>
    <row r="98" spans="1:5" x14ac:dyDescent="0.3">
      <c r="A98">
        <v>1679376309</v>
      </c>
      <c r="B98">
        <v>60.780401945114136</v>
      </c>
      <c r="C98" t="s">
        <v>3</v>
      </c>
      <c r="D98">
        <f>AVERAGE($B$7:B98)</f>
        <v>70.972305518129602</v>
      </c>
      <c r="E98" t="str">
        <f>TEXT(((Query1[[#This Row],[epoch_time]]-4*3600)/86400)+25569,"YYYY-MM-DD HH:MM:SS")</f>
        <v>2023-03-21 01:25:09</v>
      </c>
    </row>
    <row r="99" spans="1:5" x14ac:dyDescent="0.3">
      <c r="A99">
        <v>1679376382</v>
      </c>
      <c r="B99">
        <v>73.086931467056274</v>
      </c>
      <c r="C99" t="s">
        <v>3</v>
      </c>
      <c r="D99">
        <f>AVERAGE($B$7:B99)</f>
        <v>70.995043431558912</v>
      </c>
      <c r="E99" t="str">
        <f>TEXT(((Query1[[#This Row],[epoch_time]]-4*3600)/86400)+25569,"YYYY-MM-DD HH:MM:SS")</f>
        <v>2023-03-21 01:26:22</v>
      </c>
    </row>
    <row r="100" spans="1:5" x14ac:dyDescent="0.3">
      <c r="A100">
        <v>1679376445</v>
      </c>
      <c r="B100">
        <v>63.432159900665283</v>
      </c>
      <c r="C100" t="s">
        <v>3</v>
      </c>
      <c r="D100">
        <f>AVERAGE($B$7:B100)</f>
        <v>70.914587223783457</v>
      </c>
      <c r="E100" t="str">
        <f>TEXT(((Query1[[#This Row],[epoch_time]]-4*3600)/86400)+25569,"YYYY-MM-DD HH:MM:SS")</f>
        <v>2023-03-21 01:27:25</v>
      </c>
    </row>
    <row r="101" spans="1:5" x14ac:dyDescent="0.3">
      <c r="A101">
        <v>1679376505</v>
      </c>
      <c r="B101">
        <v>60.439996719360352</v>
      </c>
      <c r="C101" t="s">
        <v>3</v>
      </c>
      <c r="D101">
        <f>AVERAGE($B$7:B101)</f>
        <v>70.804328376368474</v>
      </c>
      <c r="E101" t="str">
        <f>TEXT(((Query1[[#This Row],[epoch_time]]-4*3600)/86400)+25569,"YYYY-MM-DD HH:MM:SS")</f>
        <v>2023-03-21 01:28:25</v>
      </c>
    </row>
    <row r="102" spans="1:5" x14ac:dyDescent="0.3">
      <c r="A102">
        <v>1679376565</v>
      </c>
      <c r="B102">
        <v>59.508839130401611</v>
      </c>
      <c r="C102" t="s">
        <v>3</v>
      </c>
      <c r="D102">
        <f>AVERAGE($B$7:B102)</f>
        <v>70.686667030056313</v>
      </c>
      <c r="E102" t="str">
        <f>TEXT(((Query1[[#This Row],[epoch_time]]-4*3600)/86400)+25569,"YYYY-MM-DD HH:MM:SS")</f>
        <v>2023-03-21 01:29:25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7</xdr:col>
                    <xdr:colOff>0</xdr:colOff>
                    <xdr:row>5</xdr:row>
                    <xdr:rowOff>15240</xdr:rowOff>
                  </from>
                  <to>
                    <xdr:col>8</xdr:col>
                    <xdr:colOff>586740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hart">
                <anchor moveWithCells="1" sizeWithCells="1">
                  <from>
                    <xdr:col>7</xdr:col>
                    <xdr:colOff>15240</xdr:colOff>
                    <xdr:row>8</xdr:row>
                    <xdr:rowOff>0</xdr:rowOff>
                  </from>
                  <to>
                    <xdr:col>10</xdr:col>
                    <xdr:colOff>7620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2AD8E5-E055-48C3-8A75-79E1768E61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endTime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Rodrigues</cp:lastModifiedBy>
  <dcterms:created xsi:type="dcterms:W3CDTF">2023-03-27T12:57:31Z</dcterms:created>
  <dcterms:modified xsi:type="dcterms:W3CDTF">2023-04-03T14:30:12Z</dcterms:modified>
</cp:coreProperties>
</file>