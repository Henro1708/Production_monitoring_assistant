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artinrea0-my.sharepoint.com/personal/henrique_rodriques_martinrea_com/Documents/Documents/GitHub/Scheduler/"/>
    </mc:Choice>
  </mc:AlternateContent>
  <xr:revisionPtr revIDLastSave="9" documentId="13_ncr:1_{273B7D41-C34B-4DC5-BD19-FB4C7D282850}" xr6:coauthVersionLast="47" xr6:coauthVersionMax="47" xr10:uidLastSave="{D3BF9536-140C-443F-9754-9E6CFF2906BA}"/>
  <bookViews>
    <workbookView xWindow="-108" yWindow="-108" windowWidth="23256" windowHeight="12576" xr2:uid="{E8618005-B47F-4056-A175-015176345F12}"/>
  </bookViews>
  <sheets>
    <sheet name="Sheet1" sheetId="1" r:id="rId1"/>
  </sheets>
  <definedNames>
    <definedName name="end">Sheet1!#REF!</definedName>
    <definedName name="endTime">Sheet1!$H$4</definedName>
    <definedName name="ExternalData_1" localSheetId="0" hidden="1">Sheet1!$A$6:$C$42</definedName>
    <definedName name="start">Sheet1!#REF!</definedName>
    <definedName name="startTime">Sheet1!$H$3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H4" i="1"/>
  <c r="H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8C8B8C-5499-48D5-9413-92DC580F6E69}" keepAlive="1" name="Connection" type="5" refreshedVersion="0" background="1">
    <dbPr connection="Provider=Microsoft.Mashup.OleDb.1;Data Source=$Workbook$;Location=Query1;Extended Properties=&quot;&quot;" commandType="0"/>
  </connection>
  <connection id="2" xr16:uid="{40B337F3-6487-42FF-8B4D-36E42DFE765A}" keepAlive="1" name="Connection1" type="5" refreshedVersion="0" background="1">
    <dbPr connection="Provider=Microsoft.Mashup.OleDb.1;Data Source=$Workbook$;Location=Query1;Extended Properties=&quot;&quot;" commandType="0"/>
  </connection>
  <connection id="3" xr16:uid="{327B5168-2F1B-4D7A-A8D3-929D83EE5A03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<sst xmlns="http://schemas.openxmlformats.org/spreadsheetml/2006/main" count="44" uniqueCount="9">
  <si>
    <t>epoch_time</t>
  </si>
  <si>
    <t>time_diff</t>
  </si>
  <si>
    <t>ip_address</t>
  </si>
  <si>
    <t>10.10.16.132</t>
  </si>
  <si>
    <t>Average</t>
  </si>
  <si>
    <t>Date</t>
  </si>
  <si>
    <t>Date (End)</t>
  </si>
  <si>
    <t>Date (Start)</t>
  </si>
  <si>
    <t>x`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</si>
</sst>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2" borderId="0" xfId="0" applyNumberFormat="1" applyFill="1"/>
    <xf numFmtId="0" fontId="0" fillId="3" borderId="0" xfId="0" applyFill="1"/>
    <xf numFmtId="0" fontId="2" fillId="0" borderId="1" xfId="0" applyFont="1" applyBorder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15240</xdr:rowOff>
        </xdr:from>
        <xdr:to>
          <xdr:col>10</xdr:col>
          <xdr:colOff>586740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8</xdr:row>
          <xdr:rowOff>0</xdr:rowOff>
        </xdr:from>
        <xdr:to>
          <xdr:col>12</xdr:col>
          <xdr:colOff>7620</xdr:colOff>
          <xdr:row>11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Analysis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23E9A9C-AD26-4A08-A30B-3BC245C1D37A}" autoFormatId="16" applyNumberFormats="0" applyBorderFormats="0" applyFontFormats="0" applyPatternFormats="0" applyAlignmentFormats="0" applyWidthHeightFormats="0">
  <queryTableRefresh nextId="6" unboundColumnsRight="2">
    <queryTableFields count="5">
      <queryTableField id="1" name="epoch_time" tableColumnId="1"/>
      <queryTableField id="2" name="time_diff" tableColumnId="2"/>
      <queryTableField id="3" name="ip_address" tableColumnId="3"/>
      <queryTableField id="4" dataBound="0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7B0A8E-FEC5-4BEA-82BE-B639242AAB3F}" name="Query1" displayName="Query1" ref="A6:E42" tableType="queryTable" totalsRowShown="0">
  <autoFilter ref="A6:E42" xr:uid="{5C7B0A8E-FEC5-4BEA-82BE-B639242AAB3F}"/>
  <tableColumns count="5">
    <tableColumn id="1" xr3:uid="{24F0EAEC-2725-4461-88F1-FC280B98979C}" uniqueName="1" name="epoch_time" queryTableFieldId="1"/>
    <tableColumn id="2" xr3:uid="{3F6B14B1-25F2-4A4A-9975-3BC35D839C87}" uniqueName="2" name="time_diff" queryTableFieldId="2"/>
    <tableColumn id="3" xr3:uid="{E805E15D-17D7-42C3-9B6B-ECD514777150}" uniqueName="3" name="ip_address" queryTableFieldId="3" dataDxfId="2"/>
    <tableColumn id="4" xr3:uid="{A7488D15-745D-45C4-B5F7-2204A00852D4}" uniqueName="4" name="Average" queryTableFieldId="4" dataDxfId="1">
      <calculatedColumnFormula>AVERAGE(B3:B7)</calculatedColumnFormula>
    </tableColumn>
    <tableColumn id="5" xr3:uid="{242C4A66-5DD3-40C5-8327-301ED917D913}" uniqueName="5" name="Date" queryTableFieldId="5" dataDxfId="0">
      <calculatedColumnFormula>TEXT(((Query1[[#This Row],[epoch_time]]-4*3600)/86400)+25569,"YYYY-MM-DD HH:MM:SS")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1F5-AE95-40D2-898B-71501657783E}">
  <sheetPr codeName="Sheet1"/>
  <dimension ref="A2:S42"/>
  <sheetViews>
    <sheetView tabSelected="1" workbookViewId="0">
      <selection activeCell="D19" sqref="D19"/>
    </sheetView>
  </sheetViews>
  <sheetFormatPr defaultRowHeight="14.4" x14ac:dyDescent="0.3"/>
  <cols>
    <col min="1" max="1" width="13.21875" bestFit="1" customWidth="1"/>
    <col min="2" max="2" width="12" bestFit="1" customWidth="1"/>
    <col min="3" max="3" width="12.21875" bestFit="1" customWidth="1"/>
    <col min="4" max="4" width="12" bestFit="1" customWidth="1"/>
    <col min="5" max="5" width="18.109375" bestFit="1" customWidth="1"/>
    <col min="6" max="6" width="15.44140625" bestFit="1" customWidth="1"/>
    <col min="8" max="8" width="11.6640625" bestFit="1" customWidth="1"/>
    <col min="11" max="11" width="12.88671875" customWidth="1"/>
  </cols>
  <sheetData>
    <row r="2" spans="1:19" x14ac:dyDescent="0.3">
      <c r="S2" t="s">
        <v>8</v>
      </c>
    </row>
    <row r="3" spans="1:19" x14ac:dyDescent="0.3">
      <c r="E3" s="2" t="s">
        <v>7</v>
      </c>
      <c r="F3" s="1">
        <v>45006.822916666664</v>
      </c>
      <c r="H3" s="3">
        <f>(F3-DATE(1970,1,1))*86400+4*3600</f>
        <v>1679442299.9999998</v>
      </c>
    </row>
    <row r="4" spans="1:19" x14ac:dyDescent="0.3">
      <c r="E4" s="2" t="s">
        <v>6</v>
      </c>
      <c r="F4" s="1">
        <v>45006.854166666664</v>
      </c>
      <c r="H4" s="3">
        <f>(F4-DATE(1970,1,1))*86400+4*3600</f>
        <v>1679444999.9999998</v>
      </c>
    </row>
    <row r="6" spans="1:19" x14ac:dyDescent="0.3">
      <c r="A6" t="s">
        <v>0</v>
      </c>
      <c r="B6" t="s">
        <v>1</v>
      </c>
      <c r="C6" t="s">
        <v>2</v>
      </c>
      <c r="D6" t="s">
        <v>4</v>
      </c>
      <c r="E6" t="s">
        <v>5</v>
      </c>
    </row>
    <row r="7" spans="1:19" x14ac:dyDescent="0.3">
      <c r="A7">
        <v>1679442324</v>
      </c>
      <c r="B7">
        <v>145.0475435256958</v>
      </c>
      <c r="C7" t="s">
        <v>3</v>
      </c>
      <c r="D7">
        <f t="shared" ref="D7:D42" si="0">AVERAGE(B3:B7)</f>
        <v>145.0475435256958</v>
      </c>
      <c r="E7" t="str">
        <f>TEXT(((Query1[[#This Row],[epoch_time]]-4*3600)/86400)+25569,"YYYY-MM-DD HH:MM:SS")</f>
        <v>2023-03-21 19:45:24</v>
      </c>
    </row>
    <row r="8" spans="1:19" x14ac:dyDescent="0.3">
      <c r="A8">
        <v>1679442361</v>
      </c>
      <c r="B8">
        <v>36.555409669876099</v>
      </c>
      <c r="C8" t="s">
        <v>3</v>
      </c>
      <c r="D8">
        <f t="shared" si="0"/>
        <v>90.80147659778595</v>
      </c>
      <c r="E8" t="str">
        <f>TEXT(((Query1[[#This Row],[epoch_time]]-4*3600)/86400)+25569,"YYYY-MM-DD HH:MM:SS")</f>
        <v>2023-03-21 19:46:01</v>
      </c>
    </row>
    <row r="9" spans="1:19" x14ac:dyDescent="0.3">
      <c r="A9">
        <v>1679442460</v>
      </c>
      <c r="B9">
        <v>98.988466739654541</v>
      </c>
      <c r="C9" t="s">
        <v>3</v>
      </c>
      <c r="D9">
        <f t="shared" si="0"/>
        <v>93.530473311742142</v>
      </c>
      <c r="E9" t="str">
        <f>TEXT(((Query1[[#This Row],[epoch_time]]-4*3600)/86400)+25569,"YYYY-MM-DD HH:MM:SS")</f>
        <v>2023-03-21 19:47:40</v>
      </c>
    </row>
    <row r="10" spans="1:19" x14ac:dyDescent="0.3">
      <c r="A10">
        <v>1679442488</v>
      </c>
      <c r="B10">
        <v>27.955110311508179</v>
      </c>
      <c r="C10" t="s">
        <v>3</v>
      </c>
      <c r="D10">
        <f t="shared" si="0"/>
        <v>77.136632561683655</v>
      </c>
      <c r="E10" t="str">
        <f>TEXT(((Query1[[#This Row],[epoch_time]]-4*3600)/86400)+25569,"YYYY-MM-DD HH:MM:SS")</f>
        <v>2023-03-21 19:48:08</v>
      </c>
    </row>
    <row r="11" spans="1:19" x14ac:dyDescent="0.3">
      <c r="A11">
        <v>1679442552</v>
      </c>
      <c r="B11">
        <v>64.442982912063599</v>
      </c>
      <c r="C11" t="s">
        <v>3</v>
      </c>
      <c r="D11">
        <f t="shared" si="0"/>
        <v>74.597902631759638</v>
      </c>
      <c r="E11" t="str">
        <f>TEXT(((Query1[[#This Row],[epoch_time]]-4*3600)/86400)+25569,"YYYY-MM-DD HH:MM:SS")</f>
        <v>2023-03-21 19:49:12</v>
      </c>
    </row>
    <row r="12" spans="1:19" x14ac:dyDescent="0.3">
      <c r="A12">
        <v>1679442629</v>
      </c>
      <c r="B12">
        <v>77.076883792877197</v>
      </c>
      <c r="C12" t="s">
        <v>3</v>
      </c>
      <c r="D12">
        <f t="shared" si="0"/>
        <v>61.003770685195924</v>
      </c>
      <c r="E12" t="str">
        <f>TEXT(((Query1[[#This Row],[epoch_time]]-4*3600)/86400)+25569,"YYYY-MM-DD HH:MM:SS")</f>
        <v>2023-03-21 19:50:29</v>
      </c>
    </row>
    <row r="13" spans="1:19" x14ac:dyDescent="0.3">
      <c r="A13">
        <v>1679442723</v>
      </c>
      <c r="B13">
        <v>94.301023006439195</v>
      </c>
      <c r="C13" t="s">
        <v>3</v>
      </c>
      <c r="D13">
        <f t="shared" si="0"/>
        <v>72.552893352508548</v>
      </c>
      <c r="E13" t="str">
        <f>TEXT(((Query1[[#This Row],[epoch_time]]-4*3600)/86400)+25569,"YYYY-MM-DD HH:MM:SS")</f>
        <v>2023-03-21 19:52:03</v>
      </c>
    </row>
    <row r="14" spans="1:19" x14ac:dyDescent="0.3">
      <c r="A14">
        <v>1679442775</v>
      </c>
      <c r="B14">
        <v>51.509701013565063</v>
      </c>
      <c r="C14" t="s">
        <v>3</v>
      </c>
      <c r="D14">
        <f t="shared" si="0"/>
        <v>63.057140207290651</v>
      </c>
      <c r="E14" t="str">
        <f>TEXT(((Query1[[#This Row],[epoch_time]]-4*3600)/86400)+25569,"YYYY-MM-DD HH:MM:SS")</f>
        <v>2023-03-21 19:52:55</v>
      </c>
    </row>
    <row r="15" spans="1:19" x14ac:dyDescent="0.3">
      <c r="A15">
        <v>1679442855</v>
      </c>
      <c r="B15">
        <v>79.556639432907104</v>
      </c>
      <c r="C15" t="s">
        <v>3</v>
      </c>
      <c r="D15">
        <f t="shared" si="0"/>
        <v>73.377446031570429</v>
      </c>
      <c r="E15" t="str">
        <f>TEXT(((Query1[[#This Row],[epoch_time]]-4*3600)/86400)+25569,"YYYY-MM-DD HH:MM:SS")</f>
        <v>2023-03-21 19:54:15</v>
      </c>
    </row>
    <row r="16" spans="1:19" x14ac:dyDescent="0.3">
      <c r="A16">
        <v>1679442947</v>
      </c>
      <c r="B16">
        <v>91.824293851852417</v>
      </c>
      <c r="C16" t="s">
        <v>3</v>
      </c>
      <c r="D16">
        <f t="shared" si="0"/>
        <v>78.853708219528201</v>
      </c>
      <c r="E16" t="str">
        <f>TEXT(((Query1[[#This Row],[epoch_time]]-4*3600)/86400)+25569,"YYYY-MM-DD HH:MM:SS")</f>
        <v>2023-03-21 19:55:47</v>
      </c>
    </row>
    <row r="17" spans="1:5" x14ac:dyDescent="0.3">
      <c r="A17">
        <v>1679443009</v>
      </c>
      <c r="B17">
        <v>62.260125875473022</v>
      </c>
      <c r="C17" t="s">
        <v>3</v>
      </c>
      <c r="D17">
        <f t="shared" si="0"/>
        <v>75.890356636047358</v>
      </c>
      <c r="E17" t="str">
        <f>TEXT(((Query1[[#This Row],[epoch_time]]-4*3600)/86400)+25569,"YYYY-MM-DD HH:MM:SS")</f>
        <v>2023-03-21 19:56:49</v>
      </c>
    </row>
    <row r="18" spans="1:5" x14ac:dyDescent="0.3">
      <c r="A18">
        <v>1679443077</v>
      </c>
      <c r="B18">
        <v>67.628600358963013</v>
      </c>
      <c r="C18" t="s">
        <v>3</v>
      </c>
      <c r="D18">
        <f t="shared" si="0"/>
        <v>70.55587210655213</v>
      </c>
      <c r="E18" t="str">
        <f>TEXT(((Query1[[#This Row],[epoch_time]]-4*3600)/86400)+25569,"YYYY-MM-DD HH:MM:SS")</f>
        <v>2023-03-21 19:57:57</v>
      </c>
    </row>
    <row r="19" spans="1:5" x14ac:dyDescent="0.3">
      <c r="A19">
        <v>1679443159</v>
      </c>
      <c r="B19">
        <v>81.767977952957153</v>
      </c>
      <c r="C19" t="s">
        <v>3</v>
      </c>
      <c r="D19">
        <f t="shared" si="0"/>
        <v>76.607527494430542</v>
      </c>
      <c r="E19" t="str">
        <f>TEXT(((Query1[[#This Row],[epoch_time]]-4*3600)/86400)+25569,"YYYY-MM-DD HH:MM:SS")</f>
        <v>2023-03-21 19:59:19</v>
      </c>
    </row>
    <row r="20" spans="1:5" x14ac:dyDescent="0.3">
      <c r="A20">
        <v>1679443205</v>
      </c>
      <c r="B20">
        <v>45.726182460784912</v>
      </c>
      <c r="C20" t="s">
        <v>3</v>
      </c>
      <c r="D20">
        <f t="shared" si="0"/>
        <v>69.841436100006106</v>
      </c>
      <c r="E20" t="str">
        <f>TEXT(((Query1[[#This Row],[epoch_time]]-4*3600)/86400)+25569,"YYYY-MM-DD HH:MM:SS")</f>
        <v>2023-03-21 20:00:05</v>
      </c>
    </row>
    <row r="21" spans="1:5" x14ac:dyDescent="0.3">
      <c r="A21">
        <v>1679443295</v>
      </c>
      <c r="B21">
        <v>90.192621231079102</v>
      </c>
      <c r="C21" t="s">
        <v>3</v>
      </c>
      <c r="D21">
        <f t="shared" si="0"/>
        <v>69.515101575851446</v>
      </c>
      <c r="E21" t="str">
        <f>TEXT(((Query1[[#This Row],[epoch_time]]-4*3600)/86400)+25569,"YYYY-MM-DD HH:MM:SS")</f>
        <v>2023-03-21 20:01:35</v>
      </c>
    </row>
    <row r="22" spans="1:5" x14ac:dyDescent="0.3">
      <c r="A22">
        <v>1679443357</v>
      </c>
      <c r="B22">
        <v>61.844514846801758</v>
      </c>
      <c r="C22" t="s">
        <v>3</v>
      </c>
      <c r="D22">
        <f t="shared" si="0"/>
        <v>69.43197937011719</v>
      </c>
      <c r="E22" t="str">
        <f>TEXT(((Query1[[#This Row],[epoch_time]]-4*3600)/86400)+25569,"YYYY-MM-DD HH:MM:SS")</f>
        <v>2023-03-21 20:02:37</v>
      </c>
    </row>
    <row r="23" spans="1:5" x14ac:dyDescent="0.3">
      <c r="A23">
        <v>1679443457</v>
      </c>
      <c r="B23">
        <v>100.18380880355836</v>
      </c>
      <c r="C23" t="s">
        <v>3</v>
      </c>
      <c r="D23">
        <f t="shared" si="0"/>
        <v>75.943021059036255</v>
      </c>
      <c r="E23" t="str">
        <f>TEXT(((Query1[[#This Row],[epoch_time]]-4*3600)/86400)+25569,"YYYY-MM-DD HH:MM:SS")</f>
        <v>2023-03-21 20:04:17</v>
      </c>
    </row>
    <row r="24" spans="1:5" x14ac:dyDescent="0.3">
      <c r="A24">
        <v>1679443538</v>
      </c>
      <c r="B24">
        <v>81.169418811798096</v>
      </c>
      <c r="C24" t="s">
        <v>3</v>
      </c>
      <c r="D24">
        <f t="shared" si="0"/>
        <v>75.823309230804441</v>
      </c>
      <c r="E24" t="str">
        <f>TEXT(((Query1[[#This Row],[epoch_time]]-4*3600)/86400)+25569,"YYYY-MM-DD HH:MM:SS")</f>
        <v>2023-03-21 20:05:38</v>
      </c>
    </row>
    <row r="25" spans="1:5" x14ac:dyDescent="0.3">
      <c r="A25">
        <v>1679443587</v>
      </c>
      <c r="B25">
        <v>49.197953462600708</v>
      </c>
      <c r="C25" t="s">
        <v>3</v>
      </c>
      <c r="D25">
        <f t="shared" si="0"/>
        <v>76.517663431167605</v>
      </c>
      <c r="E25" t="str">
        <f>TEXT(((Query1[[#This Row],[epoch_time]]-4*3600)/86400)+25569,"YYYY-MM-DD HH:MM:SS")</f>
        <v>2023-03-21 20:06:27</v>
      </c>
    </row>
    <row r="26" spans="1:5" x14ac:dyDescent="0.3">
      <c r="A26">
        <v>1679443696</v>
      </c>
      <c r="B26">
        <v>109.02409529685974</v>
      </c>
      <c r="C26" t="s">
        <v>3</v>
      </c>
      <c r="D26">
        <f t="shared" si="0"/>
        <v>80.283958244323728</v>
      </c>
      <c r="E26" t="str">
        <f>TEXT(((Query1[[#This Row],[epoch_time]]-4*3600)/86400)+25569,"YYYY-MM-DD HH:MM:SS")</f>
        <v>2023-03-21 20:08:16</v>
      </c>
    </row>
    <row r="27" spans="1:5" x14ac:dyDescent="0.3">
      <c r="A27">
        <v>1679443762</v>
      </c>
      <c r="B27">
        <v>65.798592329025269</v>
      </c>
      <c r="C27" t="s">
        <v>3</v>
      </c>
      <c r="D27">
        <f t="shared" si="0"/>
        <v>81.074773740768435</v>
      </c>
      <c r="E27" t="str">
        <f>TEXT(((Query1[[#This Row],[epoch_time]]-4*3600)/86400)+25569,"YYYY-MM-DD HH:MM:SS")</f>
        <v>2023-03-21 20:09:22</v>
      </c>
    </row>
    <row r="28" spans="1:5" x14ac:dyDescent="0.3">
      <c r="A28">
        <v>1679443829</v>
      </c>
      <c r="B28">
        <v>66.771241903305054</v>
      </c>
      <c r="C28" t="s">
        <v>3</v>
      </c>
      <c r="D28">
        <f t="shared" si="0"/>
        <v>74.392260360717771</v>
      </c>
      <c r="E28" t="str">
        <f>TEXT(((Query1[[#This Row],[epoch_time]]-4*3600)/86400)+25569,"YYYY-MM-DD HH:MM:SS")</f>
        <v>2023-03-21 20:10:29</v>
      </c>
    </row>
    <row r="29" spans="1:5" x14ac:dyDescent="0.3">
      <c r="A29">
        <v>1679443901</v>
      </c>
      <c r="B29">
        <v>72.391594409942627</v>
      </c>
      <c r="C29" t="s">
        <v>3</v>
      </c>
      <c r="D29">
        <f t="shared" si="0"/>
        <v>72.636695480346674</v>
      </c>
      <c r="E29" t="str">
        <f>TEXT(((Query1[[#This Row],[epoch_time]]-4*3600)/86400)+25569,"YYYY-MM-DD HH:MM:SS")</f>
        <v>2023-03-21 20:11:41</v>
      </c>
    </row>
    <row r="30" spans="1:5" x14ac:dyDescent="0.3">
      <c r="A30">
        <v>1679443982</v>
      </c>
      <c r="B30">
        <v>80.626815557479858</v>
      </c>
      <c r="C30" t="s">
        <v>3</v>
      </c>
      <c r="D30">
        <f t="shared" si="0"/>
        <v>78.922467899322513</v>
      </c>
      <c r="E30" t="str">
        <f>TEXT(((Query1[[#This Row],[epoch_time]]-4*3600)/86400)+25569,"YYYY-MM-DD HH:MM:SS")</f>
        <v>2023-03-21 20:13:02</v>
      </c>
    </row>
    <row r="31" spans="1:5" x14ac:dyDescent="0.3">
      <c r="A31">
        <v>1679444056</v>
      </c>
      <c r="B31">
        <v>73.669238090515137</v>
      </c>
      <c r="C31" t="s">
        <v>3</v>
      </c>
      <c r="D31">
        <f t="shared" si="0"/>
        <v>71.851496458053589</v>
      </c>
      <c r="E31" t="str">
        <f>TEXT(((Query1[[#This Row],[epoch_time]]-4*3600)/86400)+25569,"YYYY-MM-DD HH:MM:SS")</f>
        <v>2023-03-21 20:14:16</v>
      </c>
    </row>
    <row r="32" spans="1:5" x14ac:dyDescent="0.3">
      <c r="A32">
        <v>1679444112</v>
      </c>
      <c r="B32">
        <v>55.887666940689087</v>
      </c>
      <c r="C32" t="s">
        <v>3</v>
      </c>
      <c r="D32">
        <f t="shared" si="0"/>
        <v>69.86931138038635</v>
      </c>
      <c r="E32" t="str">
        <f>TEXT(((Query1[[#This Row],[epoch_time]]-4*3600)/86400)+25569,"YYYY-MM-DD HH:MM:SS")</f>
        <v>2023-03-21 20:15:12</v>
      </c>
    </row>
    <row r="33" spans="1:5" x14ac:dyDescent="0.3">
      <c r="A33">
        <v>1679444204</v>
      </c>
      <c r="B33">
        <v>92.068368434906006</v>
      </c>
      <c r="C33" t="s">
        <v>3</v>
      </c>
      <c r="D33">
        <f t="shared" si="0"/>
        <v>74.928736686706543</v>
      </c>
      <c r="E33" t="str">
        <f>TEXT(((Query1[[#This Row],[epoch_time]]-4*3600)/86400)+25569,"YYYY-MM-DD HH:MM:SS")</f>
        <v>2023-03-21 20:16:44</v>
      </c>
    </row>
    <row r="34" spans="1:5" x14ac:dyDescent="0.3">
      <c r="A34">
        <v>1679444284</v>
      </c>
      <c r="B34">
        <v>80.320754289627075</v>
      </c>
      <c r="C34" t="s">
        <v>3</v>
      </c>
      <c r="D34">
        <f t="shared" si="0"/>
        <v>76.514568662643427</v>
      </c>
      <c r="E34" t="str">
        <f>TEXT(((Query1[[#This Row],[epoch_time]]-4*3600)/86400)+25569,"YYYY-MM-DD HH:MM:SS")</f>
        <v>2023-03-21 20:18:04</v>
      </c>
    </row>
    <row r="35" spans="1:5" x14ac:dyDescent="0.3">
      <c r="A35">
        <v>1679444351</v>
      </c>
      <c r="B35">
        <v>67.285021543502808</v>
      </c>
      <c r="C35" t="s">
        <v>3</v>
      </c>
      <c r="D35">
        <f t="shared" si="0"/>
        <v>73.846209859848017</v>
      </c>
      <c r="E35" t="str">
        <f>TEXT(((Query1[[#This Row],[epoch_time]]-4*3600)/86400)+25569,"YYYY-MM-DD HH:MM:SS")</f>
        <v>2023-03-21 20:19:11</v>
      </c>
    </row>
    <row r="36" spans="1:5" x14ac:dyDescent="0.3">
      <c r="A36">
        <v>1679444455</v>
      </c>
      <c r="B36">
        <v>104.48515844345091</v>
      </c>
      <c r="C36" t="s">
        <v>3</v>
      </c>
      <c r="D36">
        <f t="shared" si="0"/>
        <v>80.009393930435181</v>
      </c>
      <c r="E36" t="str">
        <f>TEXT(((Query1[[#This Row],[epoch_time]]-4*3600)/86400)+25569,"YYYY-MM-DD HH:MM:SS")</f>
        <v>2023-03-21 20:20:55</v>
      </c>
    </row>
    <row r="37" spans="1:5" x14ac:dyDescent="0.3">
      <c r="A37">
        <v>1679444559</v>
      </c>
      <c r="B37">
        <v>104.39670205116272</v>
      </c>
      <c r="C37" t="s">
        <v>3</v>
      </c>
      <c r="D37">
        <f t="shared" si="0"/>
        <v>89.711200952529907</v>
      </c>
      <c r="E37" t="str">
        <f>TEXT(((Query1[[#This Row],[epoch_time]]-4*3600)/86400)+25569,"YYYY-MM-DD HH:MM:SS")</f>
        <v>2023-03-21 20:22:39</v>
      </c>
    </row>
    <row r="38" spans="1:5" x14ac:dyDescent="0.3">
      <c r="A38">
        <v>1679444660</v>
      </c>
      <c r="B38">
        <v>101.42167639732359</v>
      </c>
      <c r="C38" t="s">
        <v>3</v>
      </c>
      <c r="D38">
        <f t="shared" si="0"/>
        <v>91.581862545013422</v>
      </c>
      <c r="E38" t="str">
        <f>TEXT(((Query1[[#This Row],[epoch_time]]-4*3600)/86400)+25569,"YYYY-MM-DD HH:MM:SS")</f>
        <v>2023-03-21 20:24:20</v>
      </c>
    </row>
    <row r="39" spans="1:5" x14ac:dyDescent="0.3">
      <c r="A39">
        <v>1679444689</v>
      </c>
      <c r="B39">
        <v>28.53528356552124</v>
      </c>
      <c r="C39" t="s">
        <v>3</v>
      </c>
      <c r="D39">
        <f t="shared" si="0"/>
        <v>81.224768400192261</v>
      </c>
      <c r="E39" t="str">
        <f>TEXT(((Query1[[#This Row],[epoch_time]]-4*3600)/86400)+25569,"YYYY-MM-DD HH:MM:SS")</f>
        <v>2023-03-21 20:24:49</v>
      </c>
    </row>
    <row r="40" spans="1:5" x14ac:dyDescent="0.3">
      <c r="A40">
        <v>1679444772</v>
      </c>
      <c r="B40">
        <v>82.699686050415039</v>
      </c>
      <c r="C40" t="s">
        <v>3</v>
      </c>
      <c r="D40">
        <f t="shared" si="0"/>
        <v>84.30770130157471</v>
      </c>
      <c r="E40" t="str">
        <f>TEXT(((Query1[[#This Row],[epoch_time]]-4*3600)/86400)+25569,"YYYY-MM-DD HH:MM:SS")</f>
        <v>2023-03-21 20:26:12</v>
      </c>
    </row>
    <row r="41" spans="1:5" x14ac:dyDescent="0.3">
      <c r="A41">
        <v>1679444899</v>
      </c>
      <c r="B41">
        <v>126.81690788269044</v>
      </c>
      <c r="C41" t="s">
        <v>3</v>
      </c>
      <c r="D41">
        <f t="shared" si="0"/>
        <v>88.774051189422607</v>
      </c>
      <c r="E41" t="str">
        <f>TEXT(((Query1[[#This Row],[epoch_time]]-4*3600)/86400)+25569,"YYYY-MM-DD HH:MM:SS")</f>
        <v>2023-03-21 20:28:19</v>
      </c>
    </row>
    <row r="42" spans="1:5" x14ac:dyDescent="0.3">
      <c r="A42">
        <v>1679444939</v>
      </c>
      <c r="B42">
        <v>39.907400608062744</v>
      </c>
      <c r="C42" t="s">
        <v>3</v>
      </c>
      <c r="D42">
        <f t="shared" si="0"/>
        <v>75.876190900802612</v>
      </c>
      <c r="E42" t="str">
        <f>TEXT(((Query1[[#This Row],[epoch_time]]-4*3600)/86400)+25569,"YYYY-MM-DD HH:MM:SS")</f>
        <v>2023-03-21 20:28:59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9</xdr:col>
                    <xdr:colOff>0</xdr:colOff>
                    <xdr:row>5</xdr:row>
                    <xdr:rowOff>15240</xdr:rowOff>
                  </from>
                  <to>
                    <xdr:col>10</xdr:col>
                    <xdr:colOff>586740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hart">
                <anchor moveWithCells="1" sizeWithCells="1">
                  <from>
                    <xdr:col>9</xdr:col>
                    <xdr:colOff>15240</xdr:colOff>
                    <xdr:row>8</xdr:row>
                    <xdr:rowOff>0</xdr:rowOff>
                  </from>
                  <to>
                    <xdr:col>12</xdr:col>
                    <xdr:colOff>7620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2AD8E5-E055-48C3-8A75-79E1768E61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endTime</vt:lpstr>
      <vt:lpstr>startTime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Engelke Rodrigues</dc:creator>
  <cp:lastModifiedBy>Henrique Engelke Rodriques</cp:lastModifiedBy>
  <dcterms:created xsi:type="dcterms:W3CDTF">2023-03-27T12:57:31Z</dcterms:created>
  <dcterms:modified xsi:type="dcterms:W3CDTF">2023-03-28T14:04:18Z</dcterms:modified>
</cp:coreProperties>
</file>